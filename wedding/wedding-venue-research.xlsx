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8d00cdf03240a5" /></Relationships>
</file>

<file path=xl/workbook.xml><?xml version="1.0" encoding="utf-8"?>
<x:workbook xmlns:x="http://schemas.openxmlformats.org/spreadsheetml/2006/main">
  <x:sheets>
    <x:sheet xmlns:r="http://schemas.openxmlformats.org/officeDocument/2006/relationships" name="Decision Dashboard" sheetId="1" r:id="Rc776fce1db74472a"/>
    <x:sheet xmlns:r="http://schemas.openxmlformats.org/officeDocument/2006/relationships" name="Assumptions" sheetId="2" r:id="Rcf7a0bc5ca864efb"/>
    <x:sheet xmlns:r="http://schemas.openxmlformats.org/officeDocument/2006/relationships" name="Preference Profile" sheetId="3" r:id="R3cb63e63d9b04482"/>
    <x:sheet xmlns:r="http://schemas.openxmlformats.org/officeDocument/2006/relationships" name="Cost Model" sheetId="4" r:id="Rdd1b80f67a79426b"/>
    <x:sheet xmlns:r="http://schemas.openxmlformats.org/officeDocument/2006/relationships" name="All Venues" sheetId="5" r:id="R83b9a1d9922a4c12"/>
    <x:sheet xmlns:r="http://schemas.openxmlformats.org/officeDocument/2006/relationships" name="Package Matrix" sheetId="6" r:id="R4afc7dfe599a4a5e"/>
    <x:sheet xmlns:r="http://schemas.openxmlformats.org/officeDocument/2006/relationships" name="Sources &amp; Gaps" sheetId="7" r:id="R061bfc830f0e4251"/>
    <x:sheet xmlns:r="http://schemas.openxmlformats.org/officeDocument/2006/relationships" name="User Venue Leads" sheetId="8" r:id="Re937e80f8414411b"/>
    <x:sheet xmlns:r="http://schemas.openxmlformats.org/officeDocument/2006/relationships" name="Contact Brief" sheetId="9" r:id="R9d9c83a336b8426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
    <x:numFmt numFmtId="202" formatCode="0.0%"/>
    <x:numFmt numFmtId="203" formatCode="0%"/>
    <x:numFmt numFmtId="204" formatCode="#,##0.00"/>
  </x:numFmts>
  <x:fonts count="8">
    <x:font>
      <x:sz val="11"/>
      <x:name val="Carlito"/>
    </x:font>
    <x:font>
      <x:b/>
      <x:sz val="20"/>
      <x:color rgb="FFFFFFFF"/>
      <x:name val="Carlito"/>
    </x:font>
    <x:font>
      <x:i/>
      <x:sz val="10"/>
      <x:color rgb="FF24312C"/>
      <x:name val="Carlito"/>
    </x:font>
    <x:font>
      <x:b/>
      <x:sz val="11"/>
      <x:color rgb="FFFFFFFF"/>
      <x:name val="Carlito"/>
    </x:font>
    <x:font>
      <x:sz val="9"/>
      <x:color rgb="FF24312C"/>
      <x:name val="Carlito"/>
    </x:font>
    <x:font>
      <x:b/>
      <x:sz val="11"/>
      <x:color rgb="FF24312C"/>
      <x:name val="Carlito"/>
    </x:font>
    <x:font>
      <x:b/>
      <x:sz val="11"/>
      <x:color rgb="FF173F35"/>
      <x:name val="Carlito"/>
    </x:font>
    <x:font>
      <x:sz val="11"/>
      <x:color rgb="FF24312C"/>
      <x:name val="Carlito"/>
    </x:font>
  </x:fonts>
  <x:fills count="9">
    <x:fill>
      <x:patternFill patternType="none"/>
    </x:fill>
    <x:fill>
      <x:patternFill patternType="gray125"/>
    </x:fill>
    <x:fill>
      <x:patternFill patternType="solid">
        <x:fgColor rgb="FF173F35"/>
      </x:patternFill>
    </x:fill>
    <x:fill>
      <x:patternFill patternType="solid">
        <x:fgColor rgb="FFDDE9E1"/>
      </x:patternFill>
    </x:fill>
    <x:fill>
      <x:patternFill patternType="solid">
        <x:fgColor rgb="FF2E6651"/>
      </x:patternFill>
    </x:fill>
    <x:fill>
      <x:patternFill patternType="solid">
        <x:fgColor rgb="FFFFF1C7"/>
      </x:patternFill>
    </x:fill>
    <x:fill>
      <x:patternFill patternType="solid">
        <x:fgColor rgb="FFDCEAF7"/>
      </x:patternFill>
    </x:fill>
    <x:fill>
      <x:patternFill patternType="solid">
        <x:fgColor rgb="FFF7F3EC"/>
      </x:patternFill>
    </x:fill>
    <x:fill>
      <x:patternFill patternType="solid">
        <x:fgColor rgb="FFE9D7BF"/>
      </x:patternFill>
    </x:fill>
  </x:fills>
  <x:borders count="13">
    <x:border/>
    <x:border>
      <x:left style="thin">
        <x:color rgb="FFCBD5D0"/>
      </x:left>
      <x:right style="thin">
        <x:color rgb="FFCBD5D0"/>
      </x:right>
      <x:top style="thin">
        <x:color rgb="FFCBD5D0"/>
      </x:top>
      <x:bottom style="thin">
        <x:color rgb="FFCBD5D0"/>
      </x:bottom>
    </x:border>
    <x:border>
      <x:left style="medium">
        <x:color rgb="FFC7775E"/>
      </x:left>
      <x:top style="medium">
        <x:color rgb="FFC7775E"/>
      </x:top>
    </x:border>
    <x:border>
      <x:top style="medium">
        <x:color rgb="FFC7775E"/>
      </x:top>
    </x:border>
    <x:border>
      <x:right style="medium">
        <x:color rgb="FFC7775E"/>
      </x:right>
      <x:top style="medium">
        <x:color rgb="FFC7775E"/>
      </x:top>
    </x:border>
    <x:border>
      <x:left style="medium">
        <x:color rgb="FFC7775E"/>
      </x:left>
    </x:border>
    <x:border>
      <x:right style="medium">
        <x:color rgb="FFC7775E"/>
      </x:right>
    </x:border>
    <x:border>
      <x:left style="medium">
        <x:color rgb="FFC7775E"/>
      </x:left>
      <x:bottom style="medium">
        <x:color rgb="FFC7775E"/>
      </x:bottom>
    </x:border>
    <x:border>
      <x:bottom style="medium">
        <x:color rgb="FFC7775E"/>
      </x:bottom>
    </x:border>
    <x:border>
      <x:right style="medium">
        <x:color rgb="FFC7775E"/>
      </x:right>
      <x:bottom style="medium">
        <x:color rgb="FFC7775E"/>
      </x:bottom>
    </x:border>
    <x:border>
      <x:left style="thin">
        <x:color rgb="FFE9D7BF"/>
      </x:left>
      <x:top style="thin">
        <x:color rgb="FFE9D7BF"/>
      </x:top>
      <x:bottom style="thin">
        <x:color rgb="FFE9D7BF"/>
      </x:bottom>
    </x:border>
    <x:border>
      <x:top style="thin">
        <x:color rgb="FFE9D7BF"/>
      </x:top>
      <x:bottom style="thin">
        <x:color rgb="FFE9D7BF"/>
      </x:bottom>
    </x:border>
    <x:border>
      <x:right style="thin">
        <x:color rgb="FFE9D7BF"/>
      </x:right>
      <x:top style="thin">
        <x:color rgb="FFE9D7BF"/>
      </x:top>
      <x:bottom style="thin">
        <x:color rgb="FFE9D7BF"/>
      </x:bottom>
    </x:border>
  </x:borders>
  <x:cellStyleXfs count="1">
    <x:xf numFmtId="0" fontId="0" fillId="0" borderId="0"/>
  </x:cellStyleXfs>
  <x:cellXfs count="7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200" fontId="4" fillId="5" borderId="1" xfId="0" applyNumberFormat="1" applyFont="1" applyFill="1" applyBorder="1" applyAlignment="1">
      <x:alignment vertical="top" wrapText="1"/>
    </x:xf>
    <x:xf numFmtId="201" fontId="4" fillId="5" borderId="1" xfId="0" applyNumberFormat="1" applyFont="1" applyFill="1" applyBorder="1" applyAlignment="1">
      <x:alignment vertical="top" wrapText="1"/>
    </x:xf>
    <x:xf numFmtId="202"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4" fillId="7" borderId="1" xfId="0" applyNumberFormat="1" applyFont="1" applyFill="1" applyBorder="1" applyAlignment="1">
      <x:alignment vertical="top" wrapText="1"/>
    </x:xf>
    <x:xf numFmtId="203" fontId="4" fillId="5" borderId="1" xfId="0" applyNumberFormat="1" applyFont="1" applyFill="1" applyBorder="1" applyAlignment="1">
      <x:alignment vertical="top" wrapText="1"/>
    </x:xf>
    <x:xf numFmtId="203" fontId="0" fillId="0" borderId="0" xfId="0" applyNumberFormat="1" applyFont="1" applyFill="1" applyBorder="1"/>
    <x:xf numFmtId="203" fontId="0" fillId="6" borderId="0" xfId="0" applyNumberFormat="1" applyFont="1" applyFill="1" applyBorder="1"/>
    <x:xf numFmtId="203" fontId="5" fillId="6" borderId="0" xfId="0" applyNumberFormat="1" applyFont="1" applyFill="1" applyBorder="1"/>
    <x:xf numFmtId="0" fontId="5" fillId="6" borderId="1" xfId="0" applyNumberFormat="1" applyFont="1" applyFill="1" applyBorder="1"/>
    <x:xf numFmtId="203" fontId="5" fillId="6" borderId="1"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6" fillId="8" borderId="2" xfId="0" applyNumberFormat="1" applyFont="1" applyFill="1" applyBorder="1"/>
    <x:xf numFmtId="0" fontId="6" fillId="8" borderId="3" xfId="0" applyNumberFormat="1" applyFont="1" applyFill="1" applyBorder="1"/>
    <x:xf numFmtId="0" fontId="6" fillId="8" borderId="4" xfId="0" applyNumberFormat="1" applyFont="1" applyFill="1" applyBorder="1"/>
    <x:xf numFmtId="0" fontId="6" fillId="8" borderId="5" xfId="0" applyNumberFormat="1" applyFont="1" applyFill="1" applyBorder="1"/>
    <x:xf numFmtId="0" fontId="6" fillId="8" borderId="6" xfId="0" applyNumberFormat="1" applyFont="1" applyFill="1" applyBorder="1"/>
    <x:xf numFmtId="0" fontId="6" fillId="8" borderId="7" xfId="0" applyNumberFormat="1" applyFont="1" applyFill="1" applyBorder="1"/>
    <x:xf numFmtId="0" fontId="6" fillId="8" borderId="8" xfId="0" applyNumberFormat="1" applyFont="1" applyFill="1" applyBorder="1"/>
    <x:xf numFmtId="0" fontId="6" fillId="8" borderId="9" xfId="0" applyNumberFormat="1" applyFont="1" applyFill="1" applyBorder="1"/>
    <x:xf numFmtId="0" fontId="6" fillId="8" borderId="2" xfId="0" applyNumberFormat="1" applyFont="1" applyFill="1" applyBorder="1" applyAlignment="1">
      <x:alignment wrapText="1"/>
    </x:xf>
    <x:xf numFmtId="0" fontId="6" fillId="8" borderId="3" xfId="0" applyNumberFormat="1" applyFont="1" applyFill="1" applyBorder="1" applyAlignment="1">
      <x:alignment wrapText="1"/>
    </x:xf>
    <x:xf numFmtId="0" fontId="6" fillId="8" borderId="4" xfId="0" applyNumberFormat="1" applyFont="1" applyFill="1" applyBorder="1" applyAlignment="1">
      <x:alignment wrapText="1"/>
    </x:xf>
    <x:xf numFmtId="0" fontId="6" fillId="8" borderId="5" xfId="0" applyNumberFormat="1" applyFont="1" applyFill="1" applyBorder="1" applyAlignment="1">
      <x:alignment wrapText="1"/>
    </x:xf>
    <x:xf numFmtId="0" fontId="6" fillId="8" borderId="0" xfId="0" applyNumberFormat="1" applyFont="1" applyFill="1" applyBorder="1" applyAlignment="1">
      <x:alignment wrapText="1"/>
    </x:xf>
    <x:xf numFmtId="0" fontId="6" fillId="8" borderId="6" xfId="0" applyNumberFormat="1" applyFont="1" applyFill="1" applyBorder="1" applyAlignment="1">
      <x:alignment wrapText="1"/>
    </x:xf>
    <x:xf numFmtId="0" fontId="6" fillId="8" borderId="7" xfId="0" applyNumberFormat="1" applyFont="1" applyFill="1" applyBorder="1" applyAlignment="1">
      <x:alignment wrapText="1"/>
    </x:xf>
    <x:xf numFmtId="0" fontId="6" fillId="8" borderId="8" xfId="0" applyNumberFormat="1" applyFont="1" applyFill="1" applyBorder="1" applyAlignment="1">
      <x:alignment wrapText="1"/>
    </x:xf>
    <x:xf numFmtId="0" fontId="6" fillId="8" borderId="9" xfId="0" applyNumberFormat="1" applyFont="1" applyFill="1" applyBorder="1" applyAlignment="1">
      <x:alignment wrapText="1"/>
    </x:xf>
    <x:xf numFmtId="0" fontId="6" fillId="8" borderId="2" xfId="0" applyNumberFormat="1" applyFont="1" applyFill="1" applyBorder="1" applyAlignment="1">
      <x:alignment vertical="center" wrapText="1"/>
    </x:xf>
    <x:xf numFmtId="0" fontId="6" fillId="8" borderId="3" xfId="0" applyNumberFormat="1" applyFont="1" applyFill="1" applyBorder="1" applyAlignment="1">
      <x:alignment vertical="center" wrapText="1"/>
    </x:xf>
    <x:xf numFmtId="0" fontId="6" fillId="8" borderId="4" xfId="0" applyNumberFormat="1" applyFont="1" applyFill="1" applyBorder="1" applyAlignment="1">
      <x:alignment vertical="center" wrapText="1"/>
    </x:xf>
    <x:xf numFmtId="0" fontId="6" fillId="8" borderId="5" xfId="0" applyNumberFormat="1" applyFont="1" applyFill="1" applyBorder="1" applyAlignment="1">
      <x:alignment vertical="center" wrapText="1"/>
    </x:xf>
    <x:xf numFmtId="0" fontId="6" fillId="8" borderId="0" xfId="0" applyNumberFormat="1" applyFont="1" applyFill="1" applyBorder="1" applyAlignment="1">
      <x:alignment vertical="center" wrapText="1"/>
    </x:xf>
    <x:xf numFmtId="0" fontId="6" fillId="8" borderId="6" xfId="0" applyNumberFormat="1" applyFont="1" applyFill="1" applyBorder="1" applyAlignment="1">
      <x:alignment vertical="center" wrapText="1"/>
    </x:xf>
    <x:xf numFmtId="0" fontId="6" fillId="8" borderId="7" xfId="0" applyNumberFormat="1" applyFont="1" applyFill="1" applyBorder="1" applyAlignment="1">
      <x:alignment vertical="center" wrapText="1"/>
    </x:xf>
    <x:xf numFmtId="0" fontId="6" fillId="8" borderId="8" xfId="0" applyNumberFormat="1" applyFont="1" applyFill="1" applyBorder="1" applyAlignment="1">
      <x:alignment vertical="center" wrapText="1"/>
    </x:xf>
    <x:xf numFmtId="0" fontId="6" fillId="8" borderId="9" xfId="0" applyNumberFormat="1" applyFont="1" applyFill="1" applyBorder="1" applyAlignment="1">
      <x:alignment vertical="center" wrapText="1"/>
    </x:xf>
    <x:xf numFmtId="204" fontId="4" fillId="0" borderId="1" xfId="0" applyNumberFormat="1" applyFont="1" applyFill="1" applyBorder="1" applyAlignment="1">
      <x:alignment vertical="top" wrapText="1"/>
    </x:xf>
    <x:xf numFmtId="202"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10" xfId="0" applyNumberFormat="1" applyFont="1" applyFill="1" applyBorder="1"/>
    <x:xf numFmtId="0" fontId="7" fillId="7" borderId="11" xfId="0" applyNumberFormat="1" applyFont="1" applyFill="1" applyBorder="1"/>
    <x:xf numFmtId="0" fontId="7" fillId="7" borderId="12" xfId="0" applyNumberFormat="1" applyFont="1" applyFill="1" applyBorder="1"/>
    <x:xf numFmtId="0" fontId="7" fillId="7" borderId="10" xfId="0" applyNumberFormat="1" applyFont="1" applyFill="1" applyBorder="1" applyAlignment="1">
      <x:alignment wrapText="1"/>
    </x:xf>
    <x:xf numFmtId="0" fontId="7" fillId="7" borderId="11" xfId="0" applyNumberFormat="1" applyFont="1" applyFill="1" applyBorder="1" applyAlignment="1">
      <x:alignment wrapText="1"/>
    </x:xf>
    <x:xf numFmtId="0" fontId="7" fillId="7" borderId="12" xfId="0" applyNumberFormat="1" applyFont="1" applyFill="1" applyBorder="1" applyAlignment="1">
      <x:alignment wrapText="1"/>
    </x:xf>
    <x:xf numFmtId="201" fontId="4" fillId="0" borderId="1" xfId="0" applyNumberFormat="1" applyFont="1" applyFill="1" applyBorder="1" applyAlignment="1">
      <x:alignment vertical="top" wrapText="1"/>
    </x:xf>
    <x:xf numFmtId="200" fontId="0" fillId="0" borderId="0" xfId="0" applyNumberFormat="1" applyFont="1" applyFill="1" applyBorder="1"/>
  </x:cellXfs>
  <x:cellStyles count="1">
    <x:cellStyle name="Normal" xfId="0"/>
  </x:cellStyles>
  <x:dxfs count="20">
    <x:dxf>
      <x:font>
        <x:b/>
        <x:color rgb="FF165B33"/>
      </x:font>
      <x:fill>
        <x:patternFill patternType="solid">
          <x:bgColor rgb="FFDDE9E1"/>
        </x:patternFill>
      </x:fill>
    </x:dxf>
    <x:dxf>
      <x:font>
        <x:b/>
        <x:color rgb="FF8B1E2D"/>
      </x:font>
      <x:fill>
        <x:patternFill patternType="solid">
          <x:bgColor rgb="FFF8D7DA"/>
        </x:patternFill>
      </x:fill>
    </x:dxf>
    <x:dxf>
      <x:font>
        <x:b/>
        <x:color rgb="FF165B33"/>
      </x:font>
      <x:fill>
        <x:patternFill patternType="solid">
          <x:bgColor rgb="FFDDE9E1"/>
        </x:patternFill>
      </x:fill>
    </x:dxf>
    <x:dxf>
      <x:font>
        <x:b/>
        <x:color rgb="FF7A5200"/>
      </x:font>
      <x:fill>
        <x:patternFill patternType="solid">
          <x:bgColor rgb="FFFFF1C7"/>
        </x:patternFill>
      </x:fill>
    </x:dxf>
    <x:dxf>
      <x:font>
        <x:b/>
        <x:color rgb="FF8B1E2D"/>
      </x:font>
      <x:fill>
        <x:patternFill patternType="solid">
          <x:bgColor rgb="FFF8D7DA"/>
        </x:patternFill>
      </x:fill>
    </x:dxf>
    <x:dxf>
      <x:fill>
        <x:patternFill patternType="solid">
          <x:bgColor rgb="FFFAFCFB"/>
        </x:patternFill>
      </x:fill>
    </x:dxf>
    <x:dxf>
      <x:fill>
        <x:patternFill patternType="solid">
          <x:bgColor rgb="FFFAFCFB"/>
        </x:patternFill>
      </x:fill>
    </x:dxf>
    <x:dxf>
      <x:font>
        <x:b/>
        <x:color rgb="FF165B33"/>
      </x:font>
      <x:fill>
        <x:patternFill patternType="solid">
          <x:bgColor rgb="FFDDE9E1"/>
        </x:patternFill>
      </x:fill>
    </x:dxf>
    <x:dxf>
      <x:font>
        <x:b/>
        <x:color rgb="FF7A5200"/>
      </x:font>
      <x:fill>
        <x:patternFill patternType="solid">
          <x:bgColor rgb="FFFFF1C7"/>
        </x:patternFill>
      </x:fill>
    </x:dxf>
    <x:dxf>
      <x:font>
        <x:b/>
        <x:color rgb="FF8B1E2D"/>
      </x:font>
      <x:fill>
        <x:patternFill patternType="solid">
          <x:bgColor rgb="FFF8D7DA"/>
        </x:patternFill>
      </x:fill>
    </x:dxf>
    <x:dxf>
      <x:fill>
        <x:patternFill patternType="solid">
          <x:bgColor rgb="FFFAFCFB"/>
        </x:patternFill>
      </x:fill>
    </x:dxf>
    <x:dxf>
      <x:fill>
        <x:patternFill patternType="solid">
          <x:bgColor rgb="FFFAFCFB"/>
        </x:patternFill>
      </x:fill>
    </x:dxf>
    <x:dxf>
      <x:fill>
        <x:patternFill patternType="solid">
          <x:bgColor rgb="FFFAFCFB"/>
        </x:patternFill>
      </x:fill>
    </x:dxf>
    <x:dxf>
      <x:font>
        <x:b/>
        <x:color rgb="FF8B1E2D"/>
      </x:font>
      <x:fill>
        <x:patternFill patternType="solid">
          <x:bgColor rgb="FFF8D7DA"/>
        </x:patternFill>
      </x:fill>
    </x:dxf>
    <x:dxf>
      <x:font>
        <x:b/>
        <x:color rgb="FF165B33"/>
      </x:font>
      <x:fill>
        <x:patternFill patternType="solid">
          <x:bgColor rgb="FFDDE9E1"/>
        </x:patternFill>
      </x:fill>
    </x:dxf>
    <x:dxf>
      <x:font>
        <x:b/>
        <x:color rgb="FF7A5200"/>
      </x:font>
      <x:fill>
        <x:patternFill patternType="solid">
          <x:bgColor rgb="FFFFF1C7"/>
        </x:patternFill>
      </x:fill>
    </x:dxf>
    <x:dxf>
      <x:font>
        <x:b/>
        <x:color rgb="FF165B33"/>
      </x:font>
      <x:fill>
        <x:patternFill patternType="solid">
          <x:bgColor rgb="FFDDE9E1"/>
        </x:patternFill>
      </x:fill>
    </x:dxf>
    <x:dxf>
      <x:font>
        <x:b/>
        <x:color rgb="FF7A5200"/>
      </x:font>
      <x:fill>
        <x:patternFill patternType="solid">
          <x:bgColor rgb="FFFFF1C7"/>
        </x:patternFill>
      </x:fill>
    </x:dxf>
    <x:dxf>
      <x:font>
        <x:b/>
        <x:color rgb="FF8B1E2D"/>
      </x:font>
      <x:fill>
        <x:patternFill patternType="solid">
          <x:bgColor rgb="FFF8D7DA"/>
        </x:patternFill>
      </x:fill>
    </x:dxf>
    <x:dxf>
      <x:fill>
        <x:patternFill patternType="solid">
          <x:bgColor rgb="FFFAFCF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a575ca328b4147" /><Relationship Type="http://schemas.openxmlformats.org/officeDocument/2006/relationships/theme" Target="/xl/theme/theme1.xml" Id="R44054a9eda4447b3" /><Relationship Type="http://schemas.openxmlformats.org/officeDocument/2006/relationships/sharedStrings" Target="/xl/sharedStrings.xml" Id="Rb7b54994e3d14739" /><Relationship Type="http://schemas.openxmlformats.org/officeDocument/2006/relationships/worksheet" Target="/xl/worksheets/sheet1.xml" Id="Rc776fce1db74472a" /><Relationship Type="http://schemas.openxmlformats.org/officeDocument/2006/relationships/worksheet" Target="/xl/worksheets/sheet2.xml" Id="Rcf7a0bc5ca864efb" /><Relationship Type="http://schemas.openxmlformats.org/officeDocument/2006/relationships/worksheet" Target="/xl/worksheets/sheet3.xml" Id="R3cb63e63d9b04482" /><Relationship Type="http://schemas.openxmlformats.org/officeDocument/2006/relationships/worksheet" Target="/xl/worksheets/sheet4.xml" Id="Rdd1b80f67a79426b" /><Relationship Type="http://schemas.openxmlformats.org/officeDocument/2006/relationships/worksheet" Target="/xl/worksheets/sheet5.xml" Id="R83b9a1d9922a4c12" /><Relationship Type="http://schemas.openxmlformats.org/officeDocument/2006/relationships/worksheet" Target="/xl/worksheets/sheet6.xml" Id="R4afc7dfe599a4a5e" /><Relationship Type="http://schemas.openxmlformats.org/officeDocument/2006/relationships/worksheet" Target="/xl/worksheets/sheet7.xml" Id="R061bfc830f0e4251" /><Relationship Type="http://schemas.openxmlformats.org/officeDocument/2006/relationships/worksheet" Target="/xl/worksheets/sheet8.xml" Id="Re937e80f8414411b" /><Relationship Type="http://schemas.openxmlformats.org/officeDocument/2006/relationships/worksheet" Target="/xl/worksheets/sheet9.xml" Id="R9d9c83a336b8426e" /></Relationships>
</file>

<file path=xl/drawings/_rels/drawing1.xml.rels>&#65279;<?xml version="1.0" encoding="utf-8"?><Relationships xmlns="http://schemas.openxmlformats.org/package/2006/relationships"><Relationship Type="http://schemas.openxmlformats.org/officeDocument/2006/relationships/chart" Target="/xl/drawings/charts/chart1.xml" Id="R8b5d43ba05ea459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Couple-funded lodging totals vs budget</a:t>
            </a:r>
          </a:p>
        </c:rich>
      </c:tx>
    </c:title>
    <c:plotArea>
      <c:barChart>
        <c:barDir val="col"/>
        <c:varyColors val="0"/>
        <c:ser>
          <c:idx val="0"/>
          <c:order val="0"/>
          <c:tx>
            <c:v>Primary host-all</c:v>
          </c:tx>
          <c:cat>
            <c:strRef>
              <c:f>'Decision Dashboard'!$N$23:$N$37</c:f>
              <c:strCache>
                <c:ptCount val="0"/>
              </c:strCache>
            </c:strRef>
          </c:cat>
          <c:val>
            <c:numRef>
              <c:f>'Decision Dashboard'!$O$23:$O$37</c:f>
              <c:numCache>
                <c:formatCode>$#,##0</c:formatCode>
                <c:ptCount val="0"/>
              </c:numCache>
            </c:numRef>
          </c:val>
        </c:ser>
        <c:ser>
          <c:idx val="1"/>
          <c:order val="1"/>
          <c:tx>
            <c:v>Preferred target</c:v>
          </c:tx>
          <c:cat>
            <c:strRef>
              <c:f>'Decision Dashboard'!$N$23:$N$37</c:f>
              <c:strCache>
                <c:ptCount val="0"/>
              </c:strCache>
            </c:strRef>
          </c:cat>
          <c:val>
            <c:numRef>
              <c:f>'Decision Dashboard'!$P$23:$P$37</c:f>
              <c:numCache>
                <c:formatCode>$#,##0</c:formatCode>
                <c:ptCount val="0"/>
              </c:numCache>
            </c:numRef>
          </c:val>
        </c:ser>
        <c:ser>
          <c:idx val="2"/>
          <c:order val="2"/>
          <c:tx>
            <c:v>Hard cap</c:v>
          </c:tx>
          <c:cat>
            <c:strRef>
              <c:f>'Decision Dashboard'!$N$23:$N$37</c:f>
              <c:strCache>
                <c:ptCount val="0"/>
              </c:strCache>
            </c:strRef>
          </c:cat>
          <c:val>
            <c:numRef>
              <c:f>'Decision Dashboard'!$Q$23:$Q$37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max val="16000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13</xdr:col>
      <xdr:colOff>0</xdr:colOff>
      <xdr:row>4</xdr:row>
      <xdr:rowOff>0</xdr:rowOff>
    </xdr:from>
    <xdr:to>
      <xdr:col>21</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b5d43ba05ea459c"/>
        </a:graphicData>
      </a:graphic>
    </xdr:graphicFrame>
    <xdr:clientData/>
  </xdr:twoCellAnchor>
</xdr:wsDr>
</file>

<file path=xl/tables/table1.xml><?xml version="1.0" encoding="utf-8"?>
<x:table xmlns:x="http://schemas.openxmlformats.org/spreadsheetml/2006/main" id="1" name="PreferenceCriteriaTable" displayName="PreferenceCriteriaTable" ref="A14:E21" headerRowCount="1" totalsRowCount="0" totalsRowShown="0">
  <x:tableColumns count="5">
    <x:tableColumn id="1" name="Weighted criterion"/>
    <x:tableColumn id="2" name="Weight"/>
    <x:tableColumn id="3" name="Score 0"/>
    <x:tableColumn id="4" name="Score 5"/>
    <x:tableColumn id="5" name="Why this weight was inferred"/>
  </x:tableColumns>
  <x:tableStyleInfo name="TableStyleMedium4" showFirstColumn="0" showLastColumn="0" showRowStripes="1" showColumnStripes="0"/>
</x:table>
</file>

<file path=xl/tables/table2.xml><?xml version="1.0" encoding="utf-8"?>
<x:table xmlns:x="http://schemas.openxmlformats.org/spreadsheetml/2006/main" id="2" name="CostModelTable" displayName="CostModelTable" ref="A4:AD34" headerRowCount="1" totalsRowCount="0" totalsRowShown="0">
  <x:tableColumns count="30">
    <x:tableColumn id="1" name="Priority"/>
    <x:tableColumn id="2" name="Venue"/>
    <x:tableColumn id="3" name="Region"/>
    <x:tableColumn id="4" name="Guests"/>
    <x:tableColumn id="5" name="Nights"/>
    <x:tableColumn id="6" name="Sleeps onsite"/>
    <x:tableColumn id="7" name="Scenario"/>
    <x:tableColumn id="8" name="Evidence"/>
    <x:tableColumn id="9" name="Price year"/>
    <x:tableColumn id="10" name="Currency"/>
    <x:tableColumn id="11" name="Flat core (local)"/>
    <x:tableColumn id="12" name="Per-person core"/>
    <x:tableColumn id="13" name="Service/tax %"/>
    <x:tableColumn id="14" name="Core USD adjusted"/>
    <x:tableColumn id="15" name="Host-offsite lodging gap"/>
    <x:tableColumn id="16" name="Welcome/farewell gap"/>
    <x:tableColumn id="17" name="Wedding F&amp;B/bar gap"/>
    <x:tableColumn id="18" name="Rentals/tent"/>
    <x:tableColumn id="19" name="Décor/florals"/>
    <x:tableColumn id="20" name="Planning/coord."/>
    <x:tableColumn id="21" name="Music/AV"/>
    <x:tableColumn id="22" name="Transport"/>
    <x:tableColumn id="23" name="Other/cake/officiant"/>
    <x:tableColumn id="24" name="Photo/video"/>
    <x:tableColumn id="25" name="HMU"/>
    <x:tableColumn id="26" name="Contingency"/>
    <x:tableColumn id="27" name="Base total"/>
    <x:tableColumn id="28" name="Host-all-beds total"/>
    <x:tableColumn id="29" name="Base status"/>
    <x:tableColumn id="30" name="Host-all-beds status"/>
  </x:tableColumns>
  <x:tableStyleInfo name="TableStyleMedium4" showFirstColumn="0" showLastColumn="0" showRowStripes="1" showColumnStripes="0"/>
</x:table>
</file>

<file path=xl/tables/table3.xml><?xml version="1.0" encoding="utf-8"?>
<x:table xmlns:x="http://schemas.openxmlformats.org/spreadsheetml/2006/main" id="3" name="AllVenuesTable" displayName="AllVenuesTable" ref="A4:R75" headerRowCount="1" totalsRowCount="0" totalsRowShown="0">
  <x:tableColumns count="18">
    <x:tableColumn id="1" name="Venue"/>
    <x:tableColumn id="2" name="Origin"/>
    <x:tableColumn id="3" name="Tier"/>
    <x:tableColumn id="4" name="Country"/>
    <x:tableColumn id="5" name="Region"/>
    <x:tableColumn id="6" name="Model guests"/>
    <x:tableColumn id="7" name="Capacity"/>
    <x:tableColumn id="8" name="Sleeps onsite"/>
    <x:tableColumn id="9" name="Duration"/>
    <x:tableColumn id="10" name="Buyout / exclusivity"/>
    <x:tableColumn id="11" name="Modeled low"/>
    <x:tableColumn id="12" name="Guest-paid fallback"/>
    <x:tableColumn id="13" name="Modeled high"/>
    <x:tableColumn id="14" name="Primary host-all"/>
    <x:tableColumn id="15" name="Budget band (host-all)"/>
    <x:tableColumn id="16" name="Confidence"/>
    <x:tableColumn id="17" name="Published anchor"/>
    <x:tableColumn id="18" name="Key verdict / note"/>
  </x:tableColumns>
  <x:tableStyleInfo name="TableStyleMedium4" showFirstColumn="0" showLastColumn="0" showRowStripes="1" showColumnStripes="0"/>
</x:table>
</file>

<file path=xl/tables/table4.xml><?xml version="1.0" encoding="utf-8"?>
<x:table xmlns:x="http://schemas.openxmlformats.org/spreadsheetml/2006/main" id="4" name="PackageMatrixTable" displayName="PackageMatrixTable" ref="A4:N75" headerRowCount="1" totalsRowCount="0" totalsRowShown="0">
  <x:tableColumns count="14">
    <x:tableColumn id="1" name="Venue"/>
    <x:tableColumn id="2" name="Completeness"/>
    <x:tableColumn id="3" name="Included vendors / package"/>
    <x:tableColumn id="4" name="Décor included?"/>
    <x:tableColumn id="5" name="Accommodation included?"/>
    <x:tableColumn id="6" name="Onsite sleeping"/>
    <x:tableColumn id="7" name="Transport included?"/>
    <x:tableColumn id="8" name="F&amp;B / minimum"/>
    <x:tableColumn id="9" name="Tax, service, tip / hidden fees"/>
    <x:tableColumn id="10" name="Welcome + farewell"/>
    <x:tableColumn id="11" name="Afterparty"/>
    <x:tableColumn id="12" name="Curfew / noise"/>
    <x:tableColumn id="13" name="Main exclusions"/>
    <x:tableColumn id="14" name="Source confidence"/>
  </x:tableColumns>
  <x:tableStyleInfo name="TableStyleMedium4" showFirstColumn="0" showLastColumn="0" showRowStripes="1" showColumnStripes="0"/>
</x:table>
</file>

<file path=xl/tables/table5.xml><?xml version="1.0" encoding="utf-8"?>
<x:table xmlns:x="http://schemas.openxmlformats.org/spreadsheetml/2006/main" id="5" name="SourcesTable" displayName="SourcesTable" ref="A4:H75" headerRowCount="1" totalsRowCount="0" totalsRowShown="0">
  <x:tableColumns count="8">
    <x:tableColumn id="1" name="Venue"/>
    <x:tableColumn id="2" name="Tier"/>
    <x:tableColumn id="3" name="Price / package anchor"/>
    <x:tableColumn id="4" name="Primary source"/>
    <x:tableColumn id="5" name="Secondary source"/>
    <x:tableColumn id="6" name="Evidence checked"/>
    <x:tableColumn id="7" name="Reliability"/>
    <x:tableColumn id="8" name="Most important unresolved point"/>
  </x:tableColumns>
  <x:tableStyleInfo name="TableStyleMedium4" showFirstColumn="0" showLastColumn="0" showRowStripes="1" showColumnStripes="0"/>
</x:table>
</file>

<file path=xl/tables/table6.xml><?xml version="1.0" encoding="utf-8"?>
<x:table xmlns:x="http://schemas.openxmlformats.org/spreadsheetml/2006/main" id="6" name="UserVenueLeadsTable" displayName="UserVenueLeadsTable" ref="A4:J25" headerRowCount="1" totalsRowCount="0" totalsRowShown="0">
  <x:tableColumns count="10">
    <x:tableColumn id="1" name="Source row"/>
    <x:tableColumn id="2" name="Original entry"/>
    <x:tableColumn id="3" name="Canonical record"/>
    <x:tableColumn id="4" name="Price / package note"/>
    <x:tableColumn id="5" name="Dates / outreach"/>
    <x:tableColumn id="6" name="Original notes"/>
    <x:tableColumn id="7" name="Decision status"/>
    <x:tableColumn id="8" name="Match"/>
    <x:tableColumn id="9" name="Reconciliation / next action"/>
    <x:tableColumn id="10" name="Source / link"/>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2467ea0a3514b1e" /></Relationships>
</file>

<file path=xl/worksheets/_rels/sheet3.xml.rels>&#65279;<?xml version="1.0" encoding="utf-8"?><Relationships xmlns="http://schemas.openxmlformats.org/package/2006/relationships"><Relationship Type="http://schemas.openxmlformats.org/officeDocument/2006/relationships/table" Target="/xl/tables/table1.xml" Id="Rf4a3bc54d3034895" /></Relationships>
</file>

<file path=xl/worksheets/_rels/sheet4.xml.rels>&#65279;<?xml version="1.0" encoding="utf-8"?><Relationships xmlns="http://schemas.openxmlformats.org/package/2006/relationships"><Relationship Type="http://schemas.openxmlformats.org/officeDocument/2006/relationships/table" Target="/xl/tables/table2.xml" Id="R2f05a57f17b04da8" /></Relationships>
</file>

<file path=xl/worksheets/_rels/sheet5.xml.rels>&#65279;<?xml version="1.0" encoding="utf-8"?><Relationships xmlns="http://schemas.openxmlformats.org/package/2006/relationships"><Relationship Type="http://schemas.openxmlformats.org/officeDocument/2006/relationships/table" Target="/xl/tables/table3.xml" Id="Ra27d183f1b0941b2" /></Relationships>
</file>

<file path=xl/worksheets/_rels/sheet6.xml.rels>&#65279;<?xml version="1.0" encoding="utf-8"?><Relationships xmlns="http://schemas.openxmlformats.org/package/2006/relationships"><Relationship Type="http://schemas.openxmlformats.org/officeDocument/2006/relationships/table" Target="/xl/tables/table4.xml" Id="R594fba9a1eb34e1a" /></Relationships>
</file>

<file path=xl/worksheets/_rels/sheet7.xml.rels>&#65279;<?xml version="1.0" encoding="utf-8"?><Relationships xmlns="http://schemas.openxmlformats.org/package/2006/relationships"><Relationship Type="http://schemas.openxmlformats.org/officeDocument/2006/relationships/table" Target="/xl/tables/table5.xml" Id="Rdd472787289b41b1" /></Relationships>
</file>

<file path=xl/worksheets/_rels/sheet8.xml.rels>&#65279;<?xml version="1.0" encoding="utf-8"?><Relationships xmlns="http://schemas.openxmlformats.org/package/2006/relationships"><Relationship Type="http://schemas.openxmlformats.org/officeDocument/2006/relationships/table" Target="/xl/tables/table6.xml" Id="Rcc1b18cc47984fb0"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30" hidden="0" customWidth="1"/>
    <x:col min="3" max="3" width="24" hidden="0" customWidth="1"/>
    <x:col min="4" max="4" width="26" hidden="0" customWidth="1"/>
    <x:col min="5" max="5" width="9" hidden="0" customWidth="1"/>
    <x:col min="6" max="6" width="8" hidden="0" customWidth="1"/>
    <x:col min="7" max="7" width="10" hidden="0" customWidth="1"/>
    <x:col min="8" max="8" width="14" hidden="0" customWidth="1"/>
    <x:col min="9" max="9" width="16" hidden="0" customWidth="1"/>
    <x:col min="10" max="10" width="14" hidden="0" customWidth="1"/>
    <x:col min="11" max="11" width="46" hidden="0" customWidth="1"/>
    <x:col min="12" max="12" width="48" hidden="0" customWidth="1"/>
    <x:col min="13" max="13" width="3" hidden="0" customWidth="1"/>
    <x:col min="14" max="14" width="28" hidden="0" customWidth="1"/>
    <x:col min="15" max="15" width="14" hidden="0" customWidth="1"/>
    <x:col min="16" max="16" width="14" hidden="0" customWidth="1"/>
    <x:col min="17" max="17" width="14" hidden="0" customWidth="1"/>
    <x:col min="18" max="18" width="12" hidden="0" customWidth="1"/>
    <x:col min="19" max="19" width="12" hidden="0" customWidth="1"/>
    <x:col min="20" max="20" width="12" hidden="0" customWidth="1"/>
    <x:col min="21" max="21" width="12" hidden="0" customWidth="1"/>
  </x:cols>
  <x:sheetData>
    <x:row r="1" ht="34" customHeight="1">
      <x:c r="A1" s="3" t="str">
        <x:v>Wedding venue decision dashboard</x:v>
      </x:c>
      <x:c r="B1" s="3" t="str">
        <x:v>Wedding venue decision dashboard</x:v>
      </x:c>
      <x:c r="C1" s="3" t="str">
        <x:v>Wedding venue decision dashboard</x:v>
      </x:c>
      <x:c r="D1" s="3" t="str">
        <x:v>Wedding venue decision dashboard</x:v>
      </x:c>
      <x:c r="E1" s="3" t="str">
        <x:v>Wedding venue decision dashboard</x:v>
      </x:c>
      <x:c r="F1" s="3" t="str">
        <x:v>Wedding venue decision dashboard</x:v>
      </x:c>
      <x:c r="G1" s="3" t="str">
        <x:v>Wedding venue decision dashboard</x:v>
      </x:c>
      <x:c r="H1" s="3" t="str">
        <x:v>Wedding venue decision dashboard</x:v>
      </x:c>
      <x:c r="I1" s="3" t="str">
        <x:v>Wedding venue decision dashboard</x:v>
      </x:c>
      <x:c r="J1" s="3" t="str">
        <x:v>Wedding venue decision dashboard</x:v>
      </x:c>
      <x:c r="K1" s="3" t="str">
        <x:v>Wedding venue decision dashboard</x:v>
      </x:c>
      <x:c r="L1" s="3" t="str">
        <x:v>Wedding venue decision dashboard</x:v>
      </x:c>
      <x:c r="M1" s="3" t="str">
        <x:v>Wedding venue decision dashboard</x:v>
      </x:c>
      <x:c r="N1" s="3" t="str">
        <x:v>Wedding venue decision dashboard</x:v>
      </x:c>
      <x:c r="O1" s="3" t="str">
        <x:v>Wedding venue decision dashboard</x:v>
      </x:c>
      <x:c r="P1" s="3" t="str">
        <x:v>Wedding venue decision dashboard</x:v>
      </x:c>
      <x:c r="Q1" s="3" t="str">
        <x:v>Wedding venue decision dashboard</x:v>
      </x:c>
      <x:c r="R1" s="3" t="str">
        <x:v>Wedding venue decision dashboard</x:v>
      </x:c>
      <x:c r="S1" s="3" t="str">
        <x:v>Wedding venue decision dashboard</x:v>
      </x:c>
      <x:c r="T1" s="3" t="str">
        <x:v>Wedding venue decision dashboard</x:v>
      </x:c>
      <x:c r="U1" s="3" t="str">
        <x:v>Wedding venue decision dashboard</x:v>
      </x:c>
    </x:row>
    <x:row r="2" ht="34" customHeight="1">
      <x:c r="A2" s="3" t="str">
        <x:v>Wedding venue decision dashboard</x:v>
      </x:c>
      <x:c r="B2" s="3" t="str">
        <x:v>Wedding venue decision dashboard</x:v>
      </x:c>
      <x:c r="C2" s="3" t="str">
        <x:v>Wedding venue decision dashboard</x:v>
      </x:c>
      <x:c r="D2" s="3" t="str">
        <x:v>Wedding venue decision dashboard</x:v>
      </x:c>
      <x:c r="E2" s="3" t="str">
        <x:v>Wedding venue decision dashboard</x:v>
      </x:c>
      <x:c r="F2" s="3" t="str">
        <x:v>Wedding venue decision dashboard</x:v>
      </x:c>
      <x:c r="G2" s="3" t="str">
        <x:v>Wedding venue decision dashboard</x:v>
      </x:c>
      <x:c r="H2" s="3" t="str">
        <x:v>Wedding venue decision dashboard</x:v>
      </x:c>
      <x:c r="I2" s="3" t="str">
        <x:v>Wedding venue decision dashboard</x:v>
      </x:c>
      <x:c r="J2" s="3" t="str">
        <x:v>Wedding venue decision dashboard</x:v>
      </x:c>
      <x:c r="K2" s="3" t="str">
        <x:v>Wedding venue decision dashboard</x:v>
      </x:c>
      <x:c r="L2" s="3" t="str">
        <x:v>Wedding venue decision dashboard</x:v>
      </x:c>
      <x:c r="M2" s="3" t="str">
        <x:v>Wedding venue decision dashboard</x:v>
      </x:c>
      <x:c r="N2" s="3" t="str">
        <x:v>Wedding venue decision dashboard</x:v>
      </x:c>
      <x:c r="O2" s="3" t="str">
        <x:v>Wedding venue decision dashboard</x:v>
      </x:c>
      <x:c r="P2" s="3" t="str">
        <x:v>Wedding venue decision dashboard</x:v>
      </x:c>
      <x:c r="Q2" s="3" t="str">
        <x:v>Wedding venue decision dashboard</x:v>
      </x:c>
      <x:c r="R2" s="3" t="str">
        <x:v>Wedding venue decision dashboard</x:v>
      </x:c>
      <x:c r="S2" s="3" t="str">
        <x:v>Wedding venue decision dashboard</x:v>
      </x:c>
      <x:c r="T2" s="3" t="str">
        <x:v>Wedding venue decision dashboard</x:v>
      </x:c>
      <x:c r="U2" s="3" t="str">
        <x:v>Wedding venue decision dashboard</x:v>
      </x:c>
    </x:row>
    <x:row r="3" ht="30" customHeight="1">
      <x:c r="A3" s="7" t="str">
        <x:v>Primary model includes couple-funded lodging for every guest · May–September 25, 2027 or 2028 · 150 guests US / ~100 abroad · preferred under $100k, hard max $120k</x:v>
      </x:c>
      <x:c r="B3" s="7" t="str">
        <x:v>Primary model includes couple-funded lodging for every guest · May–September 25, 2027 or 2028 · 150 guests US / ~100 abroad · preferred under $100k, hard max $120k</x:v>
      </x:c>
      <x:c r="C3" s="7" t="str">
        <x:v>Primary model includes couple-funded lodging for every guest · May–September 25, 2027 or 2028 · 150 guests US / ~100 abroad · preferred under $100k, hard max $120k</x:v>
      </x:c>
      <x:c r="D3" s="7" t="str">
        <x:v>Primary model includes couple-funded lodging for every guest · May–September 25, 2027 or 2028 · 150 guests US / ~100 abroad · preferred under $100k, hard max $120k</x:v>
      </x:c>
      <x:c r="E3" s="7" t="str">
        <x:v>Primary model includes couple-funded lodging for every guest · May–September 25, 2027 or 2028 · 150 guests US / ~100 abroad · preferred under $100k, hard max $120k</x:v>
      </x:c>
      <x:c r="F3" s="7" t="str">
        <x:v>Primary model includes couple-funded lodging for every guest · May–September 25, 2027 or 2028 · 150 guests US / ~100 abroad · preferred under $100k, hard max $120k</x:v>
      </x:c>
      <x:c r="G3" s="7" t="str">
        <x:v>Primary model includes couple-funded lodging for every guest · May–September 25, 2027 or 2028 · 150 guests US / ~100 abroad · preferred under $100k, hard max $120k</x:v>
      </x:c>
      <x:c r="H3" s="7" t="str">
        <x:v>Primary model includes couple-funded lodging for every guest · May–September 25, 2027 or 2028 · 150 guests US / ~100 abroad · preferred under $100k, hard max $120k</x:v>
      </x:c>
      <x:c r="I3" s="7" t="str">
        <x:v>Primary model includes couple-funded lodging for every guest · May–September 25, 2027 or 2028 · 150 guests US / ~100 abroad · preferred under $100k, hard max $120k</x:v>
      </x:c>
      <x:c r="J3" s="7" t="str">
        <x:v>Primary model includes couple-funded lodging for every guest · May–September 25, 2027 or 2028 · 150 guests US / ~100 abroad · preferred under $100k, hard max $120k</x:v>
      </x:c>
      <x:c r="K3" s="7" t="str">
        <x:v>Primary model includes couple-funded lodging for every guest · May–September 25, 2027 or 2028 · 150 guests US / ~100 abroad · preferred under $100k, hard max $120k</x:v>
      </x:c>
      <x:c r="L3" s="7" t="str">
        <x:v>Primary model includes couple-funded lodging for every guest · May–September 25, 2027 or 2028 · 150 guests US / ~100 abroad · preferred under $100k, hard max $120k</x:v>
      </x:c>
      <x:c r="M3" s="7" t="str">
        <x:v>Primary model includes couple-funded lodging for every guest · May–September 25, 2027 or 2028 · 150 guests US / ~100 abroad · preferred under $100k, hard max $120k</x:v>
      </x:c>
      <x:c r="N3" s="7" t="str">
        <x:v>Primary model includes couple-funded lodging for every guest · May–September 25, 2027 or 2028 · 150 guests US / ~100 abroad · preferred under $100k, hard max $120k</x:v>
      </x:c>
      <x:c r="O3" s="7" t="str">
        <x:v>Primary model includes couple-funded lodging for every guest · May–September 25, 2027 or 2028 · 150 guests US / ~100 abroad · preferred under $100k, hard max $120k</x:v>
      </x:c>
      <x:c r="P3" s="7" t="str">
        <x:v>Primary model includes couple-funded lodging for every guest · May–September 25, 2027 or 2028 · 150 guests US / ~100 abroad · preferred under $100k, hard max $120k</x:v>
      </x:c>
      <x:c r="Q3" s="7" t="str">
        <x:v>Primary model includes couple-funded lodging for every guest · May–September 25, 2027 or 2028 · 150 guests US / ~100 abroad · preferred under $100k, hard max $120k</x:v>
      </x:c>
      <x:c r="R3" s="7" t="str">
        <x:v>Primary model includes couple-funded lodging for every guest · May–September 25, 2027 or 2028 · 150 guests US / ~100 abroad · preferred under $100k, hard max $120k</x:v>
      </x:c>
      <x:c r="S3" s="7" t="str">
        <x:v>Primary model includes couple-funded lodging for every guest · May–September 25, 2027 or 2028 · 150 guests US / ~100 abroad · preferred under $100k, hard max $120k</x:v>
      </x:c>
      <x:c r="T3" s="7" t="str">
        <x:v>Primary model includes couple-funded lodging for every guest · May–September 25, 2027 or 2028 · 150 guests US / ~100 abroad · preferred under $100k, hard max $120k</x:v>
      </x:c>
      <x:c r="U3" s="7" t="str">
        <x:v>Primary model includes couple-funded lodging for every guest · May–September 25, 2027 or 2028 · 150 guests US / ~100 abroad · preferred under $100k, hard max $120k</x:v>
      </x:c>
    </x:row>
    <x:row r="5" ht="34" customHeight="1">
      <x:c r="A5" s="12" t="str">
        <x:v>Planning input</x:v>
      </x:c>
      <x:c r="B5" s="12" t="str">
        <x:v>Value</x:v>
      </x:c>
      <x:c r="C5" s="12" t="str"/>
      <x:c r="D5" s="12" t="str">
        <x:v>Model outcome</x:v>
      </x:c>
      <x:c r="E5" s="12" t="str">
        <x:v>Value</x:v>
      </x:c>
      <x:c r="F5" s="12" t="str">
        <x:v>Meaning</x:v>
      </x:c>
    </x:row>
    <x:row r="6">
      <x:c r="A6" s="24" t="str">
        <x:v>Wedding year</x:v>
      </x:c>
      <x:c r="B6" s="16" t="n">
        <x:f>'Assumptions'!B6</x:f>
        <x:v>2027</x:v>
      </x:c>
      <x:c r="C6" s="16"/>
      <x:c r="D6" s="24" t="str">
        <x:v>Under target scenarios</x:v>
      </x:c>
      <x:c r="E6" s="16" t="n">
        <x:f>COUNTIF('Cost Model'!$AD$5:$AD$34,"Under target")</x:f>
        <x:v>4</x:v>
      </x:c>
      <x:c r="F6" s="16" t="str">
        <x:v>Host-all-beds total</x:v>
      </x:c>
    </x:row>
    <x:row r="7">
      <x:c r="A7" s="24" t="str">
        <x:v>EUR/USD</x:v>
      </x:c>
      <x:c r="B7" s="70" t="n">
        <x:f>'Assumptions'!B9</x:f>
        <x:v>1.15</x:v>
      </x:c>
      <x:c r="C7" s="16"/>
      <x:c r="D7" s="24" t="str">
        <x:v>Within hard cap</x:v>
      </x:c>
      <x:c r="E7" s="16" t="n">
        <x:f>COUNTIF('Cost Model'!$AD$5:$AD$34,"Within max")</x:f>
        <x:v>9</x:v>
      </x:c>
      <x:c r="F7" s="16" t="str">
        <x:v>Host-all-beds total</x:v>
      </x:c>
    </x:row>
    <x:row r="8">
      <x:c r="A8" s="24" t="str">
        <x:v>Target</x:v>
      </x:c>
      <x:c r="B8" s="61" t="n">
        <x:f>'Assumptions'!B7</x:f>
        <x:v>100000</x:v>
      </x:c>
      <x:c r="C8" s="16"/>
      <x:c r="D8" s="24" t="str">
        <x:v>Over hard cap</x:v>
      </x:c>
      <x:c r="E8" s="16" t="n">
        <x:f>COUNTIF('Cost Model'!$AD$5:$AD$34,"Over max")</x:f>
        <x:v>17</x:v>
      </x:c>
      <x:c r="F8" s="16" t="str">
        <x:v>Includes hosted lodging</x:v>
      </x:c>
    </x:row>
    <x:row r="9">
      <x:c r="A9" s="24" t="str">
        <x:v>Hard cap</x:v>
      </x:c>
      <x:c r="B9" s="61" t="n">
        <x:f>'Assumptions'!B8</x:f>
        <x:v>120000</x:v>
      </x:c>
      <x:c r="C9" s="16"/>
      <x:c r="D9" s="24" t="str">
        <x:v>True 100-person residential abroad</x:v>
      </x:c>
      <x:c r="E9" s="16" t="n">
        <x:v>4</x:v>
      </x:c>
      <x:c r="F9" s="16" t="str">
        <x:v>Petrata, La Pousterle, SPAO, Craveiral</x:v>
      </x:c>
    </x:row>
    <x:row r="10">
      <x:c r="A10" s="24" t="str">
        <x:v>Contingency</x:v>
      </x:c>
      <x:c r="B10" s="60" t="n">
        <x:f>'Assumptions'!B11</x:f>
        <x:v>0.08</x:v>
      </x:c>
      <x:c r="C10" s="16"/>
      <x:c r="D10" s="24" t="str">
        <x:v>Lodging policy</x:v>
      </x:c>
      <x:c r="E10" s="16" t="str">
        <x:v>Couple funds all rooms</x:v>
      </x:c>
      <x:c r="F10" s="16" t="str">
        <x:v>Primary ranking uses Host-all-beds</x:v>
      </x:c>
    </x:row>
    <x:row r="13" ht="34" customHeight="1">
      <x:c r="A13" s="12" t="str">
        <x:v>Rank</x:v>
      </x:c>
      <x:c r="B13" s="12" t="str">
        <x:v>Venue</x:v>
      </x:c>
      <x:c r="C13" s="12" t="str">
        <x:v>Region</x:v>
      </x:c>
      <x:c r="D13" s="12" t="str">
        <x:v>Scenario</x:v>
      </x:c>
      <x:c r="E13" s="12" t="str">
        <x:v>Guests</x:v>
      </x:c>
      <x:c r="F13" s="12" t="str">
        <x:v>Nights</x:v>
      </x:c>
      <x:c r="G13" s="12" t="str">
        <x:v>Sleeps</x:v>
      </x:c>
      <x:c r="H13" s="12" t="str">
        <x:v>Guest-paid fallback</x:v>
      </x:c>
      <x:c r="I13" s="12" t="str">
        <x:v>Primary host-all</x:v>
      </x:c>
      <x:c r="J13" s="12" t="str">
        <x:v>Host-all status</x:v>
      </x:c>
      <x:c r="K13" s="12" t="str">
        <x:v>Why it is competitive</x:v>
      </x:c>
      <x:c r="L13" s="12" t="str">
        <x:v>Watch-out</x:v>
      </x:c>
    </x:row>
    <x:row r="14">
      <x:c r="A14" s="16" t="n">
        <x:v>1</x:v>
      </x:c>
      <x:c r="B14" s="16" t="str">
        <x:v>Castello di Petrata</x:v>
      </x:c>
      <x:c r="C14" s="16" t="str">
        <x:f>'Cost Model'!C5</x:f>
        <x:v>Umbria, Italy</x:v>
      </x:c>
      <x:c r="D14" s="16" t="str">
        <x:f>'Cost Model'!G5</x:f>
        <x:v>Early-May weekend 2027</x:v>
      </x:c>
      <x:c r="E14" s="16" t="n">
        <x:f>'Cost Model'!D5</x:f>
        <x:v>100</x:v>
      </x:c>
      <x:c r="F14" s="16" t="n">
        <x:f>'Cost Model'!E5</x:f>
        <x:v>2</x:v>
      </x:c>
      <x:c r="G14" s="16" t="n">
        <x:f>'Cost Model'!F5</x:f>
        <x:v>100</x:v>
      </x:c>
      <x:c r="H14" s="61" t="n">
        <x:f>'Cost Model'!AA5</x:f>
        <x:v>101845</x:v>
      </x:c>
      <x:c r="I14" s="61" t="n">
        <x:f>'Cost Model'!AB5</x:f>
        <x:v>101845</x:v>
      </x:c>
      <x:c r="J14" s="16" t="str">
        <x:f>'Cost Model'!AD5</x:f>
        <x:v>Within max</x:v>
      </x:c>
      <x:c r="K14" s="16" t="str">
        <x:v>Best documented true 100-person residential package.</x:v>
      </x:c>
      <x:c r="L14" s="16" t="str">
        <x:v>Peak weekends are near the cap; target May 1–13 or a weekday.</x:v>
      </x:c>
    </x:row>
    <x:row r="15">
      <x:c r="A15" s="16" t="n">
        <x:v>2</x:v>
      </x:c>
      <x:c r="B15" s="16" t="str">
        <x:v>La Pousterle de Sabran</x:v>
      </x:c>
      <x:c r="C15" s="16" t="str">
        <x:f>'Cost Model'!C6</x:f>
        <x:v>Gard / Provence, France</x:v>
      </x:c>
      <x:c r="D15" s="16" t="str">
        <x:f>'Cost Model'!G6</x:f>
        <x:v>2027 weekend</x:v>
      </x:c>
      <x:c r="E15" s="16" t="n">
        <x:f>'Cost Model'!D6</x:f>
        <x:v>100</x:v>
      </x:c>
      <x:c r="F15" s="16" t="n">
        <x:f>'Cost Model'!E6</x:f>
        <x:v>2</x:v>
      </x:c>
      <x:c r="G15" s="16" t="n">
        <x:f>'Cost Model'!F6</x:f>
        <x:v>100</x:v>
      </x:c>
      <x:c r="H15" s="61" t="n">
        <x:f>'Cost Model'!AA6</x:f>
        <x:v>92557</x:v>
      </x:c>
      <x:c r="I15" s="61" t="n">
        <x:f>'Cost Model'!AB6</x:f>
        <x:v>92557</x:v>
      </x:c>
      <x:c r="J15" s="16" t="str">
        <x:f>'Cost Model'!AD6</x:f>
        <x:v>Under target</x:v>
      </x:c>
      <x:c r="K15" s="16" t="str">
        <x:v>All 100 beds in a cottage village for only €10,450 TTC before vendors.</x:v>
      </x:c>
      <x:c r="L15" s="16" t="str">
        <x:v>Catering/bar and most vendors are not bundled.</x:v>
      </x:c>
    </x:row>
    <x:row r="16">
      <x:c r="A16" s="16" t="n">
        <x:v>3</x:v>
      </x:c>
      <x:c r="B16" s="16" t="str">
        <x:v>Quinta da Bichinha / Quinta de São Gonçalo</x:v>
      </x:c>
      <x:c r="C16" s="16" t="str">
        <x:f>'Cost Model'!C7</x:f>
        <x:v>Lisbon district, Portugal</x:v>
      </x:c>
      <x:c r="D16" s="16" t="str">
        <x:f>'Cost Model'!G7</x:f>
        <x:v>High-season weekend 2027</x:v>
      </x:c>
      <x:c r="E16" s="16" t="n">
        <x:f>'Cost Model'!D7</x:f>
        <x:v>100</x:v>
      </x:c>
      <x:c r="F16" s="16" t="n">
        <x:f>'Cost Model'!E7</x:f>
        <x:v>2</x:v>
      </x:c>
      <x:c r="G16" s="16" t="n">
        <x:f>'Cost Model'!F7</x:f>
        <x:v>50</x:v>
      </x:c>
      <x:c r="H16" s="61" t="n">
        <x:f>'Cost Model'!AA7</x:f>
        <x:v>96596</x:v>
      </x:c>
      <x:c r="I16" s="61" t="n">
        <x:f>'Cost Model'!AB7</x:f>
        <x:v>110096</x:v>
      </x:c>
      <x:c r="J16" s="16" t="str">
        <x:f>'Cost Model'!AD7</x:f>
        <x:v>Within max</x:v>
      </x:c>
      <x:c r="K16" s="16" t="str">
        <x:v>Strong 2027 wedding F&amp;B + two-night price and VAT included.</x:v>
      </x:c>
      <x:c r="L16" s="16" t="str">
        <x:v>Only 50 sleeping guests are clearly included; re-request the package PDF.</x:v>
      </x:c>
    </x:row>
    <x:row r="17">
      <x:c r="A17" s="16" t="n">
        <x:v>4</x:v>
      </x:c>
      <x:c r="B17" s="16" t="str">
        <x:v>Finca Santa Fe</x:v>
      </x:c>
      <x:c r="C17" s="16" t="str">
        <x:f>'Cost Model'!C8</x:f>
        <x:v>Andalusia, Spain</x:v>
      </x:c>
      <x:c r="D17" s="16" t="str">
        <x:f>'Cost Model'!G8</x:f>
        <x:v>Three-day package</x:v>
      </x:c>
      <x:c r="E17" s="16" t="n">
        <x:f>'Cost Model'!D8</x:f>
        <x:v>100</x:v>
      </x:c>
      <x:c r="F17" s="16" t="n">
        <x:f>'Cost Model'!E8</x:f>
        <x:v>3</x:v>
      </x:c>
      <x:c r="G17" s="16" t="n">
        <x:f>'Cost Model'!F8</x:f>
        <x:v>12</x:v>
      </x:c>
      <x:c r="H17" s="61" t="n">
        <x:f>'Cost Model'!AA8</x:f>
        <x:v>73793</x:v>
      </x:c>
      <x:c r="I17" s="61" t="n">
        <x:f>'Cost Model'!AB8</x:f>
        <x:v>97553</x:v>
      </x:c>
      <x:c r="J17" s="16" t="str">
        <x:f>'Cost Model'!AD8</x:f>
        <x:v>Under target</x:v>
      </x:c>
      <x:c r="K17" s="16" t="str">
        <x:v>Exceptional three-day scope for €20,350.</x:v>
      </x:c>
      <x:c r="L17" s="16" t="str">
        <x:v>Only 12 onsite; 88 hotel beds and shuttles fragment the weekend.</x:v>
      </x:c>
    </x:row>
    <x:row r="18">
      <x:c r="A18" s="16" t="n">
        <x:v>5</x:v>
      </x:c>
      <x:c r="B18" s="16" t="str">
        <x:v>Diacceroni Weddings</x:v>
      </x:c>
      <x:c r="C18" s="16" t="str">
        <x:f>'Cost Model'!C16</x:f>
        <x:v>Tuscany, Italy</x:v>
      </x:c>
      <x:c r="D18" s="16" t="str">
        <x:f>'Cost Model'!G16</x:f>
        <x:v>Quote allowance</x:v>
      </x:c>
      <x:c r="E18" s="16" t="n">
        <x:f>'Cost Model'!D16</x:f>
        <x:v>100</x:v>
      </x:c>
      <x:c r="F18" s="16" t="n">
        <x:f>'Cost Model'!E16</x:f>
        <x:v>2</x:v>
      </x:c>
      <x:c r="G18" s="16" t="n">
        <x:f>'Cost Model'!F16</x:f>
        <x:v>100</x:v>
      </x:c>
      <x:c r="H18" s="61" t="n">
        <x:f>'Cost Model'!AA16</x:f>
        <x:v>108500</x:v>
      </x:c>
      <x:c r="I18" s="61" t="n">
        <x:f>'Cost Model'!AB16</x:f>
        <x:v>108500</x:v>
      </x:c>
      <x:c r="J18" s="16" t="str">
        <x:f>'Cost Model'!AD16</x:f>
        <x:v>Within max</x:v>
      </x:c>
      <x:c r="K18" s="16" t="str">
        <x:v>Integrated agriturismo program and enough lodging for the full group.</x:v>
      </x:c>
      <x:c r="L18" s="16" t="str">
        <x:v>No public wedding price; the hosted-lodging model remains low-confidence.</x:v>
      </x:c>
    </x:row>
    <x:row r="19">
      <x:c r="A19" s="16" t="n">
        <x:v>6</x:v>
      </x:c>
      <x:c r="B19" s="16" t="str">
        <x:v>Tenuta di Rota</x:v>
      </x:c>
      <x:c r="C19" s="16" t="str">
        <x:f>'Cost Model'!C27</x:f>
        <x:v>Tuscany, Italy</x:v>
      </x:c>
      <x:c r="D19" s="16" t="str">
        <x:f>'Cost Model'!G27</x:f>
        <x:v>Palagio anchor + modeled full-estate gaps</x:v>
      </x:c>
      <x:c r="E19" s="16" t="n">
        <x:f>'Cost Model'!D27</x:f>
        <x:v>100</x:v>
      </x:c>
      <x:c r="F19" s="16" t="n">
        <x:f>'Cost Model'!E27</x:f>
        <x:v>3</x:v>
      </x:c>
      <x:c r="G19" s="16" t="n">
        <x:f>'Cost Model'!F27</x:f>
        <x:v>70</x:v>
      </x:c>
      <x:c r="H19" s="61" t="n">
        <x:f>'Cost Model'!AA27</x:f>
        <x:v>104650</x:v>
      </x:c>
      <x:c r="I19" s="61" t="n">
        <x:f>'Cost Model'!AB27</x:f>
        <x:v>115450</x:v>
      </x:c>
      <x:c r="J19" s="16" t="str">
        <x:f>'Cost Model'!AD27</x:f>
        <x:v>Within max</x:v>
      </x:c>
      <x:c r="K19" s="16" t="str">
        <x:v>Potential Ristonchi-style Tuscan campus with roughly 70 core beds and more villas available.</x:v>
      </x:c>
      <x:c r="L19" s="16" t="str">
        <x:v>100 guests require written marquee approval; the public price covers only 16.</x:v>
      </x:c>
    </x:row>
    <x:row r="20">
      <x:c r="A20" s="16" t="n">
        <x:v>7</x:v>
      </x:c>
      <x:c r="B20" s="16" t="str">
        <x:v>Quinta d'Anta Hotel Rural</x:v>
      </x:c>
      <x:c r="C20" s="16" t="str">
        <x:f>'Cost Model'!C15</x:f>
        <x:v>Coimbra district, Portugal</x:v>
      </x:c>
      <x:c r="D20" s="16" t="str">
        <x:f>'Cost Model'!G15</x:f>
        <x:v>€80 pp published start + modeled gaps</x:v>
      </x:c>
      <x:c r="E20" s="16" t="n">
        <x:f>'Cost Model'!D15</x:f>
        <x:v>100</x:v>
      </x:c>
      <x:c r="F20" s="16" t="n">
        <x:f>'Cost Model'!E15</x:f>
        <x:v>2</x:v>
      </x:c>
      <x:c r="G20" s="16" t="n">
        <x:f>'Cost Model'!F15</x:f>
        <x:v>36</x:v>
      </x:c>
      <x:c r="H20" s="61" t="n">
        <x:f>'Cost Model'!AA15</x:f>
        <x:v>76160</x:v>
      </x:c>
      <x:c r="I20" s="61" t="n">
        <x:f>'Cost Model'!AB15</x:f>
        <x:v>89120</x:v>
      </x:c>
      <x:c r="J20" s="16" t="str">
        <x:f>'Cost Model'!AD15</x:f>
        <x:v>Under target</x:v>
      </x:c>
      <x:c r="K20" s="16" t="str">
        <x:v>Strong host-all budget path after adding overflow-room allowances.</x:v>
      </x:c>
      <x:c r="L20" s="16" t="str">
        <x:v>Only 18 rooms onsite; full hotel exclusivity and exact overflow blocks remain uncertain.</x:v>
      </x:c>
    </x:row>
    <x:row r="21">
      <x:c r="A21" s="16" t="n">
        <x:v>8</x:v>
      </x:c>
      <x:c r="B21" s="16" t="str">
        <x:v>SPAO Borgo San Pietro Aquaeortus</x:v>
      </x:c>
      <x:c r="C21" s="16" t="str">
        <x:f>'Cost Model'!C17</x:f>
        <x:v>Umbria, Italy</x:v>
      </x:c>
      <x:c r="D21" s="16" t="str">
        <x:f>'Cost Model'!G17</x:f>
        <x:v>100-person allowance</x:v>
      </x:c>
      <x:c r="E21" s="16" t="n">
        <x:f>'Cost Model'!D17</x:f>
        <x:v>100</x:v>
      </x:c>
      <x:c r="F21" s="16" t="n">
        <x:f>'Cost Model'!E17</x:f>
        <x:v>3</x:v>
      </x:c>
      <x:c r="G21" s="16" t="n">
        <x:f>'Cost Model'!F17</x:f>
        <x:v>100</x:v>
      </x:c>
      <x:c r="H21" s="61" t="n">
        <x:f>'Cost Model'!AA17</x:f>
        <x:v>119060</x:v>
      </x:c>
      <x:c r="I21" s="61" t="n">
        <x:f>'Cost Model'!AB17</x:f>
        <x:v>119060</x:v>
      </x:c>
      <x:c r="J21" s="16" t="str">
        <x:f>'Cost Model'!AD17</x:f>
        <x:v>Within max</x:v>
      </x:c>
      <x:c r="K21" s="16" t="str">
        <x:v>True three-night borgo for up to 100, with meals and activities bundled.</x:v>
      </x:c>
      <x:c r="L21" s="16" t="str">
        <x:v>Public start is for 75; exact 100-person quote is essential.</x:v>
      </x:c>
    </x:row>
    <x:row r="22" ht="34" customHeight="1">
      <x:c r="A22" s="16" t="n">
        <x:v>9</x:v>
      </x:c>
      <x:c r="B22" s="16" t="str">
        <x:v>Full Moon Resort</x:v>
      </x:c>
      <x:c r="C22" s="16" t="str">
        <x:f>'Cost Model'!C10</x:f>
        <x:v>Big Indian, New York</x:v>
      </x:c>
      <x:c r="D22" s="16" t="str">
        <x:f>'Cost Model'!G10</x:f>
        <x:v>Mid-tier peak weekend</x:v>
      </x:c>
      <x:c r="E22" s="16" t="n">
        <x:f>'Cost Model'!D10</x:f>
        <x:v>150</x:v>
      </x:c>
      <x:c r="F22" s="16" t="n">
        <x:f>'Cost Model'!E10</x:f>
        <x:v>2</x:v>
      </x:c>
      <x:c r="G22" s="16" t="n">
        <x:f>'Cost Model'!F10</x:f>
        <x:v>150</x:v>
      </x:c>
      <x:c r="H22" s="61" t="n">
        <x:f>'Cost Model'!AA10</x:f>
        <x:v>83285</x:v>
      </x:c>
      <x:c r="I22" s="61" t="n">
        <x:f>'Cost Model'!AB10</x:f>
        <x:v>121085</x:v>
      </x:c>
      <x:c r="J22" s="16" t="str">
        <x:f>'Cost Model'!AD10</x:f>
        <x:v>Over max</x:v>
      </x:c>
      <x:c r="K22" s="16" t="str">
        <x:v>Closest Northeast operational analogue to Ristonchi, with 150+ beds and in-house food.</x:v>
      </x:c>
      <x:c r="L22" s="16" t="str">
        <x:v>Hosted-lodging model is about $121k—just above cap—and needs a dated room guarantee.</x:v>
      </x:c>
      <x:c r="N22" s="12" t="str">
        <x:v>Venue</x:v>
      </x:c>
      <x:c r="O22" s="12" t="str">
        <x:v>Primary host-all</x:v>
      </x:c>
      <x:c r="P22" s="12" t="str">
        <x:v>Preferred target</x:v>
      </x:c>
      <x:c r="Q22" s="12" t="str">
        <x:v>Hard cap</x:v>
      </x:c>
    </x:row>
    <x:row r="23">
      <x:c r="A23" s="16" t="n">
        <x:v>10</x:v>
      </x:c>
      <x:c r="B23" s="16" t="str">
        <x:v>Castello di Ristonchi</x:v>
      </x:c>
      <x:c r="C23" s="16" t="str">
        <x:f>'Cost Model'!C32</x:f>
        <x:v>Tuscany, Italy</x:v>
      </x:c>
      <x:c r="D23" s="16" t="str">
        <x:f>'Cost Model'!G32</x:f>
        <x:v>User working quote - Sept 17-20, 2027</x:v>
      </x:c>
      <x:c r="E23" s="16" t="n">
        <x:f>'Cost Model'!D32</x:f>
        <x:v>100</x:v>
      </x:c>
      <x:c r="F23" s="16" t="n">
        <x:f>'Cost Model'!E32</x:f>
        <x:v>3</x:v>
      </x:c>
      <x:c r="G23" s="16" t="n">
        <x:f>'Cost Model'!F32</x:f>
        <x:v>100</x:v>
      </x:c>
      <x:c r="H23" s="61" t="n">
        <x:f>'Cost Model'!AA32</x:f>
        <x:v>120500</x:v>
      </x:c>
      <x:c r="I23" s="61" t="n">
        <x:f>'Cost Model'!AB32</x:f>
        <x:v>120500</x:v>
      </x:c>
      <x:c r="J23" s="16" t="str">
        <x:f>'Cost Model'!AD32</x:f>
        <x:v>Over max</x:v>
      </x:c>
      <x:c r="K23" s="16" t="str">
        <x:v>The couple's ~$108k working quote includes all 100 beds and the desired weekend scope.</x:v>
      </x:c>
      <x:c r="L23" s="16" t="str">
        <x:v>Host-all total is about $120.5k and conflicts with the official €185,500 Premium tier.</x:v>
      </x:c>
      <x:c r="N23" t="str">
        <x:f>B14</x:f>
        <x:v>Castello di Petrata</x:v>
      </x:c>
      <x:c r="O23" s="71" t="n">
        <x:f>I14</x:f>
        <x:v>101845</x:v>
      </x:c>
      <x:c r="P23" s="71" t="n">
        <x:f>'Assumptions'!$B$7</x:f>
        <x:v>100000</x:v>
      </x:c>
      <x:c r="Q23" s="71" t="n">
        <x:f>'Assumptions'!$B$8</x:f>
        <x:v>120000</x:v>
      </x:c>
    </x:row>
    <x:row r="24">
      <x:c r="A24" s="16" t="n">
        <x:v>11</x:v>
      </x:c>
      <x:c r="B24" s="16" t="str">
        <x:v>Villa Lena Puglia</x:v>
      </x:c>
      <x:c r="C24" s="16" t="str">
        <x:f>'Cost Model'!C28</x:f>
        <x:v>Oria, Puglia</x:v>
      </x:c>
      <x:c r="D24" s="16" t="str">
        <x:f>'Cost Model'!G28</x:f>
        <x:v>June rental reference + modeled vendors</x:v>
      </x:c>
      <x:c r="E24" s="16" t="n">
        <x:f>'Cost Model'!D28</x:f>
        <x:v>100</x:v>
      </x:c>
      <x:c r="F24" s="16" t="n">
        <x:f>'Cost Model'!E28</x:f>
        <x:v>3</x:v>
      </x:c>
      <x:c r="G24" s="16" t="n">
        <x:f>'Cost Model'!F28</x:f>
        <x:v>18</x:v>
      </x:c>
      <x:c r="H24" s="61" t="n">
        <x:f>'Cost Model'!AA28</x:f>
        <x:v>101565</x:v>
      </x:c>
      <x:c r="I24" s="61" t="n">
        <x:f>'Cost Model'!AB28</x:f>
        <x:v>125325</x:v>
      </x:c>
      <x:c r="J24" s="16" t="str">
        <x:f>'Cost Model'!AD28</x:f>
        <x:v>Over max</x:v>
      </x:c>
      <x:c r="K24" s="16" t="str">
        <x:v>Strong aesthetic/value lead with an in-house planner and capacity for 150.</x:v>
      </x:c>
      <x:c r="L24" s="16" t="str">
        <x:v>Hosting overflow lodging produces about $125k; only 14-20 sleep onsite.</x:v>
      </x:c>
      <x:c r="N24" t="str">
        <x:f>B15</x:f>
        <x:v>La Pousterle de Sabran</x:v>
      </x:c>
      <x:c r="O24" s="71" t="n">
        <x:f>I15</x:f>
        <x:v>92557</x:v>
      </x:c>
      <x:c r="P24" s="71" t="n">
        <x:f>'Assumptions'!$B$7</x:f>
        <x:v>100000</x:v>
      </x:c>
      <x:c r="Q24" s="71" t="n">
        <x:f>'Assumptions'!$B$8</x:f>
        <x:v>120000</x:v>
      </x:c>
    </x:row>
    <x:row r="25">
      <x:c r="A25" s="16" t="n">
        <x:v>12</x:v>
      </x:c>
      <x:c r="B25" s="16" t="str">
        <x:v>Magnanini Winery</x:v>
      </x:c>
      <x:c r="C25" s="16" t="str">
        <x:f>'Cost Model'!C11</x:f>
        <x:v>Wallkill, New York</x:v>
      </x:c>
      <x:c r="D25" s="16" t="str">
        <x:f>'Cost Model'!G11</x:f>
        <x:v>Midpoint site + $175 pp</x:v>
      </x:c>
      <x:c r="E25" s="16" t="n">
        <x:f>'Cost Model'!D11</x:f>
        <x:v>150</x:v>
      </x:c>
      <x:c r="F25" s="16" t="n">
        <x:f>'Cost Model'!E11</x:f>
        <x:v>1</x:v>
      </x:c>
      <x:c r="G25" s="16" t="n">
        <x:f>'Cost Model'!F11</x:f>
        <x:v>4</x:v>
      </x:c>
      <x:c r="H25" s="61" t="n">
        <x:f>'Cost Model'!AA11</x:f>
        <x:v>80566</x:v>
      </x:c>
      <x:c r="I25" s="61" t="n">
        <x:f>'Cost Model'!AB11</x:f>
        <x:v>129166</x:v>
      </x:c>
      <x:c r="J25" s="16" t="str">
        <x:f>'Cost Model'!AD11</x:f>
        <x:v>Over max</x:v>
      </x:c>
      <x:c r="K25" s="16" t="str">
        <x:v>Turnkey reception value remains attractive.</x:v>
      </x:c>
      <x:c r="L25" s="16" t="str">
        <x:v>Only four modeled onsite beds; couple-funded overflow rooms raise total to about $129k.</x:v>
      </x:c>
      <x:c r="N25" t="str">
        <x:f>B16</x:f>
        <x:v>Quinta da Bichinha / Quinta de São Gonçalo</x:v>
      </x:c>
      <x:c r="O25" s="71" t="n">
        <x:f>I16</x:f>
        <x:v>110096</x:v>
      </x:c>
      <x:c r="P25" s="71" t="n">
        <x:f>'Assumptions'!$B$7</x:f>
        <x:v>100000</x:v>
      </x:c>
      <x:c r="Q25" s="71" t="n">
        <x:f>'Assumptions'!$B$8</x:f>
        <x:v>120000</x:v>
      </x:c>
    </x:row>
    <x:row r="26">
      <x:c r="A26" s="16" t="n">
        <x:v>13</x:v>
      </x:c>
      <x:c r="B26" s="16" t="str">
        <x:v>Blenheim Hill Farm</x:v>
      </x:c>
      <x:c r="C26" s="16" t="str">
        <x:f>'Cost Model'!C9</x:f>
        <x:v>Jefferson, New York</x:v>
      </x:c>
      <x:c r="D26" s="16" t="str">
        <x:f>'Cost Model'!G9</x:f>
        <x:v>Weekend + food/bar + hosted overflow lodging</x:v>
      </x:c>
      <x:c r="E26" s="16" t="n">
        <x:f>'Cost Model'!D9</x:f>
        <x:v>150</x:v>
      </x:c>
      <x:c r="F26" s="16" t="n">
        <x:f>'Cost Model'!E9</x:f>
        <x:v>2</x:v>
      </x:c>
      <x:c r="G26" s="16" t="n">
        <x:f>'Cost Model'!F9</x:f>
        <x:v>40</x:v>
      </x:c>
      <x:c r="H26" s="61" t="n">
        <x:f>'Cost Model'!AA9</x:f>
        <x:v>82975</x:v>
      </x:c>
      <x:c r="I26" s="61" t="n">
        <x:f>'Cost Model'!AB9</x:f>
        <x:v>131575</x:v>
      </x:c>
      <x:c r="J26" s="16" t="str">
        <x:f>'Cost Model'!AD9</x:f>
        <x:v>Over max</x:v>
      </x:c>
      <x:c r="K26" s="16" t="str">
        <x:v>Transparent farm-weekend pricing and no meaningful curfew.</x:v>
      </x:c>
      <x:c r="L26" s="16" t="str">
        <x:v>The ~$83k fallback assumes guest-paid rooms; hosting overflow lodging raises total to about $131.6k.</x:v>
      </x:c>
      <x:c r="N26" t="str">
        <x:f>B17</x:f>
        <x:v>Finca Santa Fe</x:v>
      </x:c>
      <x:c r="O26" s="71" t="n">
        <x:f>I17</x:f>
        <x:v>97553</x:v>
      </x:c>
      <x:c r="P26" s="71" t="n">
        <x:f>'Assumptions'!$B$7</x:f>
        <x:v>100000</x:v>
      </x:c>
      <x:c r="Q26" s="71" t="n">
        <x:f>'Assumptions'!$B$8</x:f>
        <x:v>120000</x:v>
      </x:c>
    </x:row>
    <x:row r="27">
      <x:c r="A27" s="16" t="n">
        <x:v>14</x:v>
      </x:c>
      <x:c r="B27" s="16" t="str">
        <x:v>Crested Hen Farms</x:v>
      </x:c>
      <x:c r="C27" s="16" t="str">
        <x:f>'Cost Model'!C13</x:f>
        <x:v>High Falls, New York</x:v>
      </x:c>
      <x:c r="D27" s="16" t="str">
        <x:f>'Cost Model'!G13</x:f>
        <x:v>User $19k weekend quote + modeled vendors</x:v>
      </x:c>
      <x:c r="E27" s="16" t="n">
        <x:f>'Cost Model'!D13</x:f>
        <x:v>150</x:v>
      </x:c>
      <x:c r="F27" s="16" t="n">
        <x:f>'Cost Model'!E13</x:f>
        <x:v>2</x:v>
      </x:c>
      <x:c r="G27" s="16" t="n">
        <x:f>'Cost Model'!F13</x:f>
        <x:v>21</x:v>
      </x:c>
      <x:c r="H27" s="61" t="n">
        <x:f>'Cost Model'!AA13</x:f>
        <x:v>103730</x:v>
      </x:c>
      <x:c r="I27" s="61" t="n">
        <x:f>'Cost Model'!AB13</x:f>
        <x:v>142610</x:v>
      </x:c>
      <x:c r="J27" s="16" t="str">
        <x:f>'Cost Model'!AD13</x:f>
        <x:v>Over max</x:v>
      </x:c>
      <x:c r="K27" s="16" t="str">
        <x:v>Strong rustic farm/mountain vibe with a true weekend framework.</x:v>
      </x:c>
      <x:c r="L27" s="16" t="str">
        <x:v>Only 21 beds; couple-funded overflow rooms raise the model to about $142.6k.</x:v>
      </x:c>
      <x:c r="N27" t="str">
        <x:f>B18</x:f>
        <x:v>Diacceroni Weddings</x:v>
      </x:c>
      <x:c r="O27" s="71" t="n">
        <x:f>I18</x:f>
        <x:v>108500</x:v>
      </x:c>
      <x:c r="P27" s="71" t="n">
        <x:f>'Assumptions'!$B$7</x:f>
        <x:v>100000</x:v>
      </x:c>
      <x:c r="Q27" s="71" t="n">
        <x:f>'Assumptions'!$B$8</x:f>
        <x:v>120000</x:v>
      </x:c>
    </x:row>
    <x:row r="28">
      <x:c r="A28" s="16" t="n">
        <x:v>15</x:v>
      </x:c>
      <x:c r="B28" s="16" t="str">
        <x:v>Arrow Park</x:v>
      </x:c>
      <x:c r="C28" s="16" t="str">
        <x:f>'Cost Model'!C12</x:f>
        <x:v>Monroe, New York</x:v>
      </x:c>
      <x:c r="D28" s="16" t="str">
        <x:f>'Cost Model'!G12</x:f>
        <x:v>Private peak-Saturday quote + loaded F&amp;B allowance</x:v>
      </x:c>
      <x:c r="E28" s="16" t="n">
        <x:f>'Cost Model'!D12</x:f>
        <x:v>150</x:v>
      </x:c>
      <x:c r="F28" s="16" t="n">
        <x:f>'Cost Model'!E12</x:f>
        <x:v>1</x:v>
      </x:c>
      <x:c r="G28" s="16" t="n">
        <x:f>'Cost Model'!F12</x:f>
        <x:v>28</x:v>
      </x:c>
      <x:c r="H28" s="61" t="n">
        <x:f>'Cost Model'!AA12</x:f>
        <x:v>115050</x:v>
      </x:c>
      <x:c r="I28" s="61" t="n">
        <x:f>'Cost Model'!AB12</x:f>
        <x:v>147450</x:v>
      </x:c>
      <x:c r="J28" s="16" t="str">
        <x:f>'Cost Model'!AD12</x:f>
        <x:v>Over max</x:v>
      </x:c>
      <x:c r="K28" s="16" t="str">
        <x:v>Wooded lake estate near NYC with 28 beds and an included bonfire afterparty.</x:v>
      </x:c>
      <x:c r="L28" s="16" t="str">
        <x:v>Couple-funded overflow rooms plus excluded catering/bar raise the model to about $147.5k.</x:v>
      </x:c>
      <x:c r="N28" t="str">
        <x:f>B19</x:f>
        <x:v>Tenuta di Rota</x:v>
      </x:c>
      <x:c r="O28" s="71" t="n">
        <x:f>I19</x:f>
        <x:v>115450</x:v>
      </x:c>
      <x:c r="P28" s="71" t="n">
        <x:f>'Assumptions'!$B$7</x:f>
        <x:v>100000</x:v>
      </x:c>
      <x:c r="Q28" s="71" t="n">
        <x:f>'Assumptions'!$B$8</x:f>
        <x:v>120000</x:v>
      </x:c>
    </x:row>
    <x:row r="29">
      <x:c r="N29" t="str">
        <x:f>B20</x:f>
        <x:v>Quinta d'Anta Hotel Rural</x:v>
      </x:c>
      <x:c r="O29" s="71" t="n">
        <x:f>I20</x:f>
        <x:v>89120</x:v>
      </x:c>
      <x:c r="P29" s="71" t="n">
        <x:f>'Assumptions'!$B$7</x:f>
        <x:v>100000</x:v>
      </x:c>
      <x:c r="Q29" s="71" t="n">
        <x:f>'Assumptions'!$B$8</x:f>
        <x:v>120000</x:v>
      </x:c>
    </x:row>
    <x:row r="30">
      <x:c r="N30" t="str">
        <x:f>B21</x:f>
        <x:v>SPAO Borgo San Pietro Aquaeortus</x:v>
      </x:c>
      <x:c r="O30" s="71" t="n">
        <x:f>I21</x:f>
        <x:v>119060</x:v>
      </x:c>
      <x:c r="P30" s="71" t="n">
        <x:f>'Assumptions'!$B$7</x:f>
        <x:v>100000</x:v>
      </x:c>
      <x:c r="Q30" s="71" t="n">
        <x:f>'Assumptions'!$B$8</x:f>
        <x:v>120000</x:v>
      </x:c>
    </x:row>
    <x:row r="31">
      <x:c r="N31" t="str">
        <x:f>B22</x:f>
        <x:v>Full Moon Resort</x:v>
      </x:c>
      <x:c r="O31" s="71" t="n">
        <x:f>I22</x:f>
        <x:v>121085</x:v>
      </x:c>
      <x:c r="P31" s="71" t="n">
        <x:f>'Assumptions'!$B$7</x:f>
        <x:v>100000</x:v>
      </x:c>
      <x:c r="Q31" s="71" t="n">
        <x:f>'Assumptions'!$B$8</x:f>
        <x:v>120000</x:v>
      </x:c>
    </x:row>
    <x:row r="32" ht="22" customHeight="1">
      <x:c r="A32" s="50"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B32" s="51"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C32" s="51"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D32" s="51"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E32" s="51"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F32" s="51"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G32" s="51"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H32" s="51"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I32" s="51"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J32" s="51"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K32" s="51"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L32" s="52"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N32" t="str">
        <x:f>B23</x:f>
        <x:v>Castello di Ristonchi</x:v>
      </x:c>
      <x:c r="O32" s="71" t="n">
        <x:f>I23</x:f>
        <x:v>120500</x:v>
      </x:c>
      <x:c r="P32" s="71" t="n">
        <x:f>'Assumptions'!$B$7</x:f>
        <x:v>100000</x:v>
      </x:c>
      <x:c r="Q32" s="71" t="n">
        <x:f>'Assumptions'!$B$8</x:f>
        <x:v>120000</x:v>
      </x:c>
    </x:row>
    <x:row r="33" ht="22" customHeight="1">
      <x:c r="A33" s="53"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B33" s="54"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C33" s="54"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D33" s="54"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E33" s="54"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F33" s="54"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G33" s="54"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H33" s="54"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I33" s="54"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J33" s="54"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K33" s="54"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L33" s="55"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N33" t="str">
        <x:f>B24</x:f>
        <x:v>Villa Lena Puglia</x:v>
      </x:c>
      <x:c r="O33" s="71" t="n">
        <x:f>I24</x:f>
        <x:v>125325</x:v>
      </x:c>
      <x:c r="P33" s="71" t="n">
        <x:f>'Assumptions'!$B$7</x:f>
        <x:v>100000</x:v>
      </x:c>
      <x:c r="Q33" s="71" t="n">
        <x:f>'Assumptions'!$B$8</x:f>
        <x:v>120000</x:v>
      </x:c>
    </x:row>
    <x:row r="34" ht="22" customHeight="1">
      <x:c r="A34" s="56"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B34" s="57"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C34" s="57"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D34" s="57"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E34" s="57"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F34" s="57"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G34" s="57"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H34" s="57"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I34" s="57"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J34" s="57"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K34" s="57"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L34" s="58" t="str">
        <x:v>Bottom line: rankings now assume the couple funds all required and overflow guest lodging. Blenheim Hill Farm therefore moves from an ~$83k guest-paid-room fallback to about $131.6k and is over the hard cap. The current US residential options also become difficult: Full Moon is closest at about $121.1k; Crested Hen is about $142.6k and Arrow about $147.5k. Castello di Petrata and La Pousterle remain the cleanest documented residential values abroad. Ristonchi remains a hold pending quote reconciliation.</x:v>
      </x:c>
      <x:c r="N34" t="str">
        <x:f>B25</x:f>
        <x:v>Magnanini Winery</x:v>
      </x:c>
      <x:c r="O34" s="71" t="n">
        <x:f>I25</x:f>
        <x:v>129166</x:v>
      </x:c>
      <x:c r="P34" s="71" t="n">
        <x:f>'Assumptions'!$B$7</x:f>
        <x:v>100000</x:v>
      </x:c>
      <x:c r="Q34" s="71" t="n">
        <x:f>'Assumptions'!$B$8</x:f>
        <x:v>120000</x:v>
      </x:c>
    </x:row>
    <x:row r="35">
      <x:c r="N35" t="str">
        <x:f>B26</x:f>
        <x:v>Blenheim Hill Farm</x:v>
      </x:c>
      <x:c r="O35" s="71" t="n">
        <x:f>I26</x:f>
        <x:v>131575</x:v>
      </x:c>
      <x:c r="P35" s="71" t="n">
        <x:f>'Assumptions'!$B$7</x:f>
        <x:v>100000</x:v>
      </x:c>
      <x:c r="Q35" s="71" t="n">
        <x:f>'Assumptions'!$B$8</x:f>
        <x:v>120000</x:v>
      </x:c>
    </x:row>
    <x:row r="36">
      <x:c r="N36" t="str">
        <x:f>B27</x:f>
        <x:v>Crested Hen Farms</x:v>
      </x:c>
      <x:c r="O36" s="71" t="n">
        <x:f>I27</x:f>
        <x:v>142610</x:v>
      </x:c>
      <x:c r="P36" s="71" t="n">
        <x:f>'Assumptions'!$B$7</x:f>
        <x:v>100000</x:v>
      </x:c>
      <x:c r="Q36" s="71" t="n">
        <x:f>'Assumptions'!$B$8</x:f>
        <x:v>120000</x:v>
      </x:c>
    </x:row>
    <x:row r="37">
      <x:c r="N37" t="str">
        <x:f>B28</x:f>
        <x:v>Arrow Park</x:v>
      </x:c>
      <x:c r="O37" s="71" t="n">
        <x:f>I28</x:f>
        <x:v>147450</x:v>
      </x:c>
      <x:c r="P37" s="71" t="n">
        <x:f>'Assumptions'!$B$7</x:f>
        <x:v>100000</x:v>
      </x:c>
      <x:c r="Q37" s="71" t="n">
        <x:f>'Assumptions'!$B$8</x:f>
        <x:v>120000</x:v>
      </x:c>
    </x:row>
  </x:sheetData>
  <x:mergeCells>
    <x:mergeCell ref="A1:U2"/>
    <x:mergeCell ref="A3:U3"/>
    <x:mergeCell ref="A32:L34"/>
  </x:mergeCells>
  <x:conditionalFormatting sqref="J14:J28">
    <x:cfRule type="containsText" dxfId="16" priority="1" operator="containsText" text="Under target"/>
    <x:cfRule type="containsText" dxfId="17" priority="2" operator="containsText" text="Within max"/>
    <x:cfRule type="containsText" dxfId="18" priority="3" operator="containsText" text="Over max"/>
  </x:conditionalFormatting>
  <x:conditionalFormatting sqref="A14:L28">
    <x:cfRule type="expression" dxfId="19" priority="4">
      <x:formula>MOD(ROW(),2)=0</x:formula>
    </x:cfRule>
  </x:conditionalFormatting>
  <x:pageMargins left="0.7" right="0.7" top="0.75" bottom="0.75" header="0.3" footer="0.3"/>
  <x:drawing xmlns:r="http://schemas.openxmlformats.org/officeDocument/2006/relationships" r:id="R22467ea0a3514b1e"/>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0" hidden="0" customWidth="1"/>
    <x:col min="4" max="4" width="74" hidden="0" customWidth="1"/>
  </x:cols>
  <x:sheetData>
    <x:row r="1" ht="34" customHeight="1">
      <x:c r="A1" s="3" t="str">
        <x:v>Planning assumptions</x:v>
      </x:c>
      <x:c r="B1" s="3" t="str">
        <x:v>Planning assumptions</x:v>
      </x:c>
      <x:c r="C1" s="3" t="str">
        <x:v>Planning assumptions</x:v>
      </x:c>
      <x:c r="D1" s="3" t="str">
        <x:v>Planning assumptions</x:v>
      </x:c>
      <x:c r="E1" s="3" t="str">
        <x:v>Planning assumptions</x:v>
      </x:c>
      <x:c r="F1" s="3" t="str">
        <x:v>Planning assumptions</x:v>
      </x:c>
    </x:row>
    <x:row r="2" ht="34" customHeight="1">
      <x:c r="A2" s="3" t="str">
        <x:v>Planning assumptions</x:v>
      </x:c>
      <x:c r="B2" s="3" t="str">
        <x:v>Planning assumptions</x:v>
      </x:c>
      <x:c r="C2" s="3" t="str">
        <x:v>Planning assumptions</x:v>
      </x:c>
      <x:c r="D2" s="3" t="str">
        <x:v>Planning assumptions</x:v>
      </x:c>
      <x:c r="E2" s="3" t="str">
        <x:v>Planning assumptions</x:v>
      </x:c>
      <x:c r="F2" s="3" t="str">
        <x:v>Planning assumptions</x:v>
      </x:c>
    </x:row>
    <x:row r="3" ht="30" customHeight="1">
      <x:c r="A3" s="7" t="str">
        <x:v>Yellow cells are editable. Cost-model formulas recalculate from these inputs; static screening ranges on All Venues remain research estimates.</x:v>
      </x:c>
      <x:c r="B3" s="7" t="str">
        <x:v>Yellow cells are editable. Cost-model formulas recalculate from these inputs; static screening ranges on All Venues remain research estimates.</x:v>
      </x:c>
      <x:c r="C3" s="7" t="str">
        <x:v>Yellow cells are editable. Cost-model formulas recalculate from these inputs; static screening ranges on All Venues remain research estimates.</x:v>
      </x:c>
      <x:c r="D3" s="7" t="str">
        <x:v>Yellow cells are editable. Cost-model formulas recalculate from these inputs; static screening ranges on All Venues remain research estimates.</x:v>
      </x:c>
      <x:c r="E3" s="7" t="str">
        <x:v>Yellow cells are editable. Cost-model formulas recalculate from these inputs; static screening ranges on All Venues remain research estimates.</x:v>
      </x:c>
      <x:c r="F3" s="7" t="str">
        <x:v>Yellow cells are editable. Cost-model formulas recalculate from these inputs; static screening ranges on All Venues remain research estimates.</x:v>
      </x:c>
    </x:row>
    <x:row r="5" ht="34" customHeight="1">
      <x:c r="A5" s="12" t="str">
        <x:v>Input</x:v>
      </x:c>
      <x:c r="B5" s="12" t="str">
        <x:v>Value</x:v>
      </x:c>
      <x:c r="C5" s="12" t="str">
        <x:v>Unit</x:v>
      </x:c>
      <x:c r="D5" s="12" t="str">
        <x:v>Why / source</x:v>
      </x:c>
    </x:row>
    <x:row r="6">
      <x:c r="A6" s="16" t="str">
        <x:v>Wedding year</x:v>
      </x:c>
      <x:c r="B6" s="17" t="n">
        <x:v>2027</x:v>
      </x:c>
      <x:c r="C6" s="16" t="str">
        <x:v>year</x:v>
      </x:c>
      <x:c r="D6" s="16" t="str">
        <x:v>Switch to 2028 to apply the default inflation factor to older package anchors.</x:v>
      </x:c>
    </x:row>
    <x:row r="7">
      <x:c r="A7" s="16" t="str">
        <x:v>Preferred all-in target</x:v>
      </x:c>
      <x:c r="B7" s="18" t="n">
        <x:v>100000</x:v>
      </x:c>
      <x:c r="C7" s="16" t="str">
        <x:v>USD</x:v>
      </x:c>
      <x:c r="D7" s="16" t="str">
        <x:v>User target.</x:v>
      </x:c>
    </x:row>
    <x:row r="8">
      <x:c r="A8" s="16" t="str">
        <x:v>Hard all-in ceiling</x:v>
      </x:c>
      <x:c r="B8" s="18" t="n">
        <x:v>120000</x:v>
      </x:c>
      <x:c r="C8" s="16" t="str">
        <x:v>USD</x:v>
      </x:c>
      <x:c r="D8" s="16" t="str">
        <x:v>User maximum.</x:v>
      </x:c>
    </x:row>
    <x:row r="9">
      <x:c r="A9" s="16" t="str">
        <x:v>Planning EUR/USD</x:v>
      </x:c>
      <x:c r="B9" s="19" t="n">
        <x:v>1.15</x:v>
      </x:c>
      <x:c r="C9" s="16" t="str">
        <x:v>USD per EUR</x:v>
      </x:c>
      <x:c r="D9" s="16" t="str">
        <x:v>Conservative planning rate; late-July 2026 ECB reference was about $1.14/€1.</x:v>
      </x:c>
    </x:row>
    <x:row r="10">
      <x:c r="A10" s="16" t="str">
        <x:v>Annual price inflation</x:v>
      </x:c>
      <x:c r="B10" s="20" t="n">
        <x:v>0.05</x:v>
      </x:c>
      <x:c r="C10" s="16" t="str">
        <x:v>per year</x:v>
      </x:c>
      <x:c r="D10" s="16" t="str">
        <x:v>Screening assumption for packages priced before the selected wedding year.</x:v>
      </x:c>
    </x:row>
    <x:row r="11">
      <x:c r="A11" s="16" t="str">
        <x:v>Contingency on modeled gaps</x:v>
      </x:c>
      <x:c r="B11" s="20" t="n">
        <x:v>0.08</x:v>
      </x:c>
      <x:c r="C11" s="16" t="str">
        <x:v>of missing-cost allowances</x:v>
      </x:c>
      <x:c r="D11" s="16" t="str">
        <x:v>Applied to estimated add-ons, not to fixed published core packages.</x:v>
      </x:c>
    </x:row>
    <x:row r="12">
      <x:c r="A12" s="16" t="str">
        <x:v>US guest count</x:v>
      </x:c>
      <x:c r="B12" s="17" t="n">
        <x:v>150</x:v>
      </x:c>
      <x:c r="C12" s="16" t="str">
        <x:v>people</x:v>
      </x:c>
      <x:c r="D12" s="16" t="str">
        <x:v>User assumption.</x:v>
      </x:c>
    </x:row>
    <x:row r="13">
      <x:c r="A13" s="16" t="str">
        <x:v>Abroad guest count</x:v>
      </x:c>
      <x:c r="B13" s="17" t="n">
        <x:v>100</x:v>
      </x:c>
      <x:c r="C13" s="16" t="str">
        <x:v>people</x:v>
      </x:c>
      <x:c r="D13" s="16" t="str">
        <x:v>User assumption.</x:v>
      </x:c>
    </x:row>
    <x:row r="14">
      <x:c r="A14" s="16" t="str">
        <x:v>Photography + video</x:v>
      </x:c>
      <x:c r="B14" s="18" t="n">
        <x:v>10000</x:v>
      </x:c>
      <x:c r="C14" s="16" t="str">
        <x:v>USD</x:v>
      </x:c>
      <x:c r="D14" s="16" t="str">
        <x:v>Editable planning allowance; destination travel fees may add cost.</x:v>
      </x:c>
    </x:row>
    <x:row r="15">
      <x:c r="A15" s="16" t="str">
        <x:v>Hair + makeup</x:v>
      </x:c>
      <x:c r="B15" s="18" t="n">
        <x:v>2500</x:v>
      </x:c>
      <x:c r="C15" s="16" t="str">
        <x:v>USD</x:v>
      </x:c>
      <x:c r="D15" s="16" t="str">
        <x:v>Editable planning allowance.</x:v>
      </x:c>
    </x:row>
    <x:row r="16">
      <x:c r="A16" s="16" t="str">
        <x:v>Date window</x:v>
      </x:c>
      <x:c r="B16" s="16" t="str">
        <x:v>May 1–September 25</x:v>
      </x:c>
      <x:c r="C16" s="16" t="str">
        <x:v>2027 or 2028</x:v>
      </x:c>
      <x:c r="D16" s="16" t="str">
        <x:v>Petrata low-season pricing applies only May 1–13 in its 2027 brochure.</x:v>
      </x:c>
    </x:row>
    <x:row r="17">
      <x:c r="A17" s="16" t="str">
        <x:v>Cost scope</x:v>
      </x:c>
      <x:c r="B17" s="16" t="str">
        <x:v>Couple-funded wedding + all guest lodging</x:v>
      </x:c>
      <x:c r="C17" s="16" t="str"/>
      <x:c r="D17" s="16" t="str">
        <x:v>Primary comparison includes rooms for the full guest count plus venue, hosted events, F&amp;B/bar, rentals, décor, planning, music, transport, photo/video, HMU, known fees and contingency.</x:v>
      </x:c>
    </x:row>
    <x:row r="18">
      <x:c r="A18" s="16" t="str">
        <x:v>Explicit exclusions</x:v>
      </x:c>
      <x:c r="B18" s="16" t="str">
        <x:v>Guest airfare; attire/rings; invitations/favors; honeymoon</x:v>
      </x:c>
      <x:c r="C18" s="16" t="str"/>
      <x:c r="D18" s="16" t="str">
        <x:v>Add separately if you want a household cash-flow total.</x:v>
      </x:c>
    </x:row>
    <x:row r="21" ht="44" customHeight="1">
      <x:c r="A21" s="23" t="str">
        <x:v>Primary policy: the couple funds required and overflow guest lodging. Dashboard rankings, statuses and budget bands therefore use “Host-all-beds.” “Base total” is retained only as a guest-paid-room fallback for sensitivity analysis.</x:v>
      </x:c>
      <x:c r="B21" s="23" t="str">
        <x:v>Primary policy: the couple funds required and overflow guest lodging. Dashboard rankings, statuses and budget bands therefore use “Host-all-beds.” “Base total” is retained only as a guest-paid-room fallback for sensitivity analysis.</x:v>
      </x:c>
      <x:c r="C21" s="23" t="str">
        <x:v>Primary policy: the couple funds required and overflow guest lodging. Dashboard rankings, statuses and budget bands therefore use “Host-all-beds.” “Base total” is retained only as a guest-paid-room fallback for sensitivity analysis.</x:v>
      </x:c>
      <x:c r="D21" s="23" t="str">
        <x:v>Primary policy: the couple funds required and overflow guest lodging. Dashboard rankings, statuses and budget bands therefore use “Host-all-beds.” “Base total” is retained only as a guest-paid-room fallback for sensitivity analysis.</x:v>
      </x:c>
      <x:c r="E21" s="23" t="str">
        <x:v>Primary policy: the couple funds required and overflow guest lodging. Dashboard rankings, statuses and budget bands therefore use “Host-all-beds.” “Base total” is retained only as a guest-paid-room fallback for sensitivity analysis.</x:v>
      </x:c>
      <x:c r="F21" s="23" t="str">
        <x:v>Primary policy: the couple funds required and overflow guest lodging. Dashboard rankings, statuses and budget bands therefore use “Host-all-beds.” “Base total” is retained only as a guest-paid-room fallback for sensitivity analysis.</x:v>
      </x:c>
    </x:row>
  </x:sheetData>
  <x:mergeCells>
    <x:mergeCell ref="A1:F2"/>
    <x:mergeCell ref="A3:F3"/>
    <x:mergeCell ref="A21:F21"/>
  </x:mergeCells>
  <x:dataValidations count="1">
    <x:dataValidation type="list" sqref="B6">
      <x:formula1>"2027,2028"</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48" hidden="0" customWidth="1"/>
    <x:col min="4" max="4" width="58" hidden="0" customWidth="1"/>
    <x:col min="5" max="5" width="56" hidden="0" customWidth="1"/>
  </x:cols>
  <x:sheetData>
    <x:row r="1" ht="34" customHeight="1">
      <x:c r="A1" s="3" t="str">
        <x:v>Inferred venue criteria</x:v>
      </x:c>
      <x:c r="B1" s="3" t="str">
        <x:v>Inferred venue criteria</x:v>
      </x:c>
      <x:c r="C1" s="3" t="str">
        <x:v>Inferred venue criteria</x:v>
      </x:c>
      <x:c r="D1" s="3" t="str">
        <x:v>Inferred venue criteria</x:v>
      </x:c>
      <x:c r="E1" s="3" t="str">
        <x:v>Inferred venue criteria</x:v>
      </x:c>
    </x:row>
    <x:row r="2" ht="34" customHeight="1">
      <x:c r="A2" s="3" t="str">
        <x:v>Inferred venue criteria</x:v>
      </x:c>
      <x:c r="B2" s="3" t="str">
        <x:v>Inferred venue criteria</x:v>
      </x:c>
      <x:c r="C2" s="3" t="str">
        <x:v>Inferred venue criteria</x:v>
      </x:c>
      <x:c r="D2" s="3" t="str">
        <x:v>Inferred venue criteria</x:v>
      </x:c>
      <x:c r="E2" s="3" t="str">
        <x:v>Inferred venue criteria</x:v>
      </x:c>
    </x:row>
    <x:row r="3" ht="30" customHeight="1">
      <x:c r="A3" s="7" t="str">
        <x:v>A two-stage decision rule inferred from the supplied workbook and follow-up decisions. Apply the gates first; only score venues that survive them. Yellow weights are editable and should total 100%.</x:v>
      </x:c>
      <x:c r="B3" s="7" t="str">
        <x:v>A two-stage decision rule inferred from the supplied workbook and follow-up decisions. Apply the gates first; only score venues that survive them. Yellow weights are editable and should total 100%.</x:v>
      </x:c>
      <x:c r="C3" s="7" t="str">
        <x:v>A two-stage decision rule inferred from the supplied workbook and follow-up decisions. Apply the gates first; only score venues that survive them. Yellow weights are editable and should total 100%.</x:v>
      </x:c>
      <x:c r="D3" s="7" t="str">
        <x:v>A two-stage decision rule inferred from the supplied workbook and follow-up decisions. Apply the gates first; only score venues that survive them. Yellow weights are editable and should total 100%.</x:v>
      </x:c>
      <x:c r="E3" s="7" t="str">
        <x:v>A two-stage decision rule inferred from the supplied workbook and follow-up decisions. Apply the gates first; only score venues that survive them. Yellow weights are editable and should total 100%.</x:v>
      </x:c>
    </x:row>
    <x:row r="5" ht="34" customHeight="1">
      <x:c r="A5" s="12" t="str">
        <x:v>Gate</x:v>
      </x:c>
      <x:c r="B5" s="12" t="str">
        <x:v>Strength</x:v>
      </x:c>
      <x:c r="C5" s="12" t="str">
        <x:v>Rule</x:v>
      </x:c>
      <x:c r="D5" s="12" t="str">
        <x:v>Evidence from the couple's workbook / brief</x:v>
      </x:c>
    </x:row>
    <x:row r="6">
      <x:c r="A6" s="16" t="str">
        <x:v>Guest capacity</x:v>
      </x:c>
      <x:c r="B6" s="24" t="str">
        <x:v>Hard</x:v>
      </x:c>
      <x:c r="C6" s="16" t="str">
        <x:v>At least 150 in the US or about 100 abroad, including the full seated rain plan.</x:v>
      </x:c>
      <x:c r="D6" s="16" t="str">
        <x:v>Castello La Leccia and Villa Catureglio are removed despite attractive settings because published capacity is below the modeled count.</x:v>
      </x:c>
    </x:row>
    <x:row r="7">
      <x:c r="A7" s="16" t="str">
        <x:v>Date window</x:v>
      </x:c>
      <x:c r="B7" s="24" t="str">
        <x:v>Hard</x:v>
      </x:c>
      <x:c r="C7" s="16" t="str">
        <x:v>An available event date from May 1 through September 25 in 2027 or 2028.</x:v>
      </x:c>
      <x:c r="D7" s="16" t="str">
        <x:v>Glynwood is noted as 2028 earliest; date-tier pricing must be tied to an actual open date.</x:v>
      </x:c>
    </x:row>
    <x:row r="8">
      <x:c r="A8" s="16" t="str">
        <x:v>All-in maximum</x:v>
      </x:c>
      <x:c r="B8" s="24" t="str">
        <x:v>Hard</x:v>
      </x:c>
      <x:c r="C8" s="16" t="str">
        <x:v>Couple-funded host-all-beds total no more than $120,000; preferred target is below $100,000.</x:v>
      </x:c>
      <x:c r="D8" s="16" t="str">
        <x:v>The couple does not want guests required to fund accommodations. Blenheim rises from about $83k to about $132k when overflow rooms are hosted.</x:v>
      </x:c>
    </x:row>
    <x:row r="9">
      <x:c r="A9" s="16" t="str">
        <x:v>Late-night celebration</x:v>
      </x:c>
      <x:c r="B9" s="24" t="str">
        <x:v>Near-hard</x:v>
      </x:c>
      <x:c r="C9" s="16" t="str">
        <x:v>On-property music/afterparty should reach at least roughly 12:30-2am, or have a credible private nearby alternative.</x:v>
      </x:c>
      <x:c r="D9" s="16" t="str">
        <x:v>A Private Estate was rejected for no late music; Candlelight's 10:30pm music stop is a major concern; Arrow and Ristonchi afterparties are positives.</x:v>
      </x:c>
    </x:row>
    <x:row r="10">
      <x:c r="A10" s="16" t="str">
        <x:v>Outdoor + weather plan</x:v>
      </x:c>
      <x:c r="B10" s="24" t="str">
        <x:v>Near-hard</x:v>
      </x:c>
      <x:c r="C10" s="16" t="str">
        <x:v>Natural outdoor ceremony/reception with a priced tent or indoor plan for the full guest count.</x:v>
      </x:c>
      <x:c r="D10" s="16" t="str">
        <x:v>Farm, lake, mountain, woods and tent possibilities are repeatedly called out; rain-plan shortfalls materially change cost and fit.</x:v>
      </x:c>
    </x:row>
    <x:row r="11">
      <x:c r="A11" s="16" t="str">
        <x:v>Travel + site compactness</x:v>
      </x:c>
      <x:c r="B11" s="24" t="str">
        <x:v>Near-hard</x:v>
      </x:c>
      <x:c r="C11" s="16" t="str">
        <x:v>US venues should be practical from NY/NJ; event, lodging and activity areas should be compact or connected by frequent carts/shuttles with minimal required walking.</x:v>
      </x:c>
      <x:c r="D11" s="16" t="str">
        <x:v>Adirondack Camp was rejected after review research because it is too far and guests would need to walk too much across the property.</x:v>
      </x:c>
    </x:row>
    <x:row r="12">
      <x:c r="A12" s="16" t="str">
        <x:v>Aesthetic / emotional fit</x:v>
      </x:c>
      <x:c r="B12" s="24" t="str">
        <x:v>Manual veto</x:v>
      </x:c>
      <x:c r="C12" s="16" t="str">
        <x:v>Either partner can reject a venue after imagery/tour regardless of its numerical score.</x:v>
      </x:c>
      <x:c r="D12" s="16" t="str">
        <x:v>The Old Mill was rejected as 'didn't love' despite a workable package; Chateau de Sanse was also passed without a price reason.</x:v>
      </x:c>
    </x:row>
    <x:row r="14" ht="34" customHeight="1">
      <x:c r="A14" s="12" t="str">
        <x:v>Weighted criterion</x:v>
      </x:c>
      <x:c r="B14" s="12" t="str">
        <x:v>Weight</x:v>
      </x:c>
      <x:c r="C14" s="12" t="str">
        <x:v>Score 0</x:v>
      </x:c>
      <x:c r="D14" s="12" t="str">
        <x:v>Score 5</x:v>
      </x:c>
      <x:c r="E14" s="12" t="str">
        <x:v>Why this weight was inferred</x:v>
      </x:c>
    </x:row>
    <x:row r="15">
      <x:c r="A15" s="16" t="str">
        <x:v>All-in budget feasibility + certainty</x:v>
      </x:c>
      <x:c r="B15" s="25" t="n">
        <x:v>0.3</x:v>
      </x:c>
      <x:c r="C15" s="16" t="str">
        <x:v>Over cap or major unpriced mandatory scope</x:v>
      </x:c>
      <x:c r="D15" s="16" t="str">
        <x:v>Comfortably under $100k with dated, loaded quote</x:v>
      </x:c>
      <x:c r="E15" s="16" t="str">
        <x:v>Price is judged on total missing scope, not the site fee alone.</x:v>
      </x:c>
    </x:row>
    <x:row r="16">
      <x:c r="A16" s="16" t="str">
        <x:v>Weekend / multi-event capability</x:v>
      </x:c>
      <x:c r="B16" s="25" t="n">
        <x:v>0.15</x:v>
      </x:c>
      <x:c r="C16" s="16" t="str">
        <x:v>Wedding-day rental only</x:v>
      </x:c>
      <x:c r="D16" s="16" t="str">
        <x:v>Exclusive 2-3 nights with welcome, wedding and farewell events</x:v>
      </x:c>
      <x:c r="E16" s="16" t="str">
        <x:v>The desired experience is a weekend, not only a reception.</x:v>
      </x:c>
    </x:row>
    <x:row r="17">
      <x:c r="A17" s="16" t="str">
        <x:v>Afterparty + curfew</x:v>
      </x:c>
      <x:c r="B17" s="25" t="n">
        <x:v>0.15</x:v>
      </x:c>
      <x:c r="C17" s="16" t="str">
        <x:v>Music ends around 10:30-11pm with no solution</x:v>
      </x:c>
      <x:c r="D17" s="16" t="str">
        <x:v>Private onsite party to about 2am with clear contract terms</x:v>
      </x:c>
      <x:c r="E17" s="16" t="str">
        <x:v>Late music caused an explicit rejection and is praised where included.</x:v>
      </x:c>
    </x:row>
    <x:row r="18">
      <x:c r="A18" s="16" t="str">
        <x:v>Natural aesthetic + weather resilience</x:v>
      </x:c>
      <x:c r="B18" s="25" t="n">
        <x:v>0.1</x:v>
      </x:c>
      <x:c r="C18" s="16" t="str">
        <x:v>Generic hall or no full-count rain plan</x:v>
      </x:c>
      <x:c r="D18" s="16" t="str">
        <x:v>Woods/farm/lake/vineyard setting plus included or priced backup</x:v>
      </x:c>
      <x:c r="E18" s="16" t="str">
        <x:v>Outdoor, tent, lake and mountain character recur in the notes.</x:v>
      </x:c>
    </x:row>
    <x:row r="19">
      <x:c r="A19" s="16" t="str">
        <x:v>Onsite lodging / co-location</x:v>
      </x:c>
      <x:c r="B19" s="25" t="n">
        <x:v>0.1</x:v>
      </x:c>
      <x:c r="C19" s="16" t="str">
        <x:v>Guests must pay rooms or lodging is unpriced/fragmented</x:v>
      </x:c>
      <x:c r="D19" s="16" t="str">
        <x:v>All guest lodging is included or couple-funded within budget</x:v>
      </x:c>
      <x:c r="E19" s="16" t="str">
        <x:v>Ristonchi's 100 beds are central; Blenheim's guest-paid-room assumption was rejected as the primary model.</x:v>
      </x:c>
    </x:row>
    <x:row r="20">
      <x:c r="A20" s="16" t="str">
        <x:v>Package/vendor completeness</x:v>
      </x:c>
      <x:c r="B20" s="25" t="n">
        <x:v>0.1</x:v>
      </x:c>
      <x:c r="C20" s="16" t="str">
        <x:v>Dry hire with most scope unknown</x:v>
      </x:c>
      <x:c r="D20" s="16" t="str">
        <x:v>F&amp;B/bar, rentals, coordination, music/cake and activities bundled</x:v>
      </x:c>
      <x:c r="E20" s="16" t="str">
        <x:v>Ristonchi's inclusions are highlighted; Candlelight's lack of vendors is a negative.</x:v>
      </x:c>
    </x:row>
    <x:row r="21">
      <x:c r="A21" s="16" t="str">
        <x:v>Access + compactness + transportation</x:v>
      </x:c>
      <x:c r="B21" s="25" t="n">
        <x:v>0.1</x:v>
      </x:c>
      <x:c r="C21" s="16" t="str">
        <x:v>Long trip, dispersed spaces and substantial required walking</x:v>
      </x:c>
      <x:c r="D21" s="16" t="str">
        <x:v>Convenient from NY/NJ or airport, compact layout, and door-to-door carts/shuttles</x:v>
      </x:c>
      <x:c r="E21" s="16" t="str">
        <x:v>NY/NJ proximity and transfers are praised; Adirondack was rejected for distance and excessive walking.</x:v>
      </x:c>
    </x:row>
    <x:row r="22">
      <x:c r="A22" s="29" t="str">
        <x:v>Weight check</x:v>
      </x:c>
      <x:c r="B22" s="30" t="n">
        <x:f>SUM(B15:B21)</x:f>
        <x:v>0.9999999999999999</x:v>
      </x:c>
      <x:c r="C22" s="29" t="str"/>
      <x:c r="D22" s="29" t="str"/>
      <x:c r="E22" s="29" t="str">
        <x:v>Should equal 100% before using scores.</x:v>
      </x:c>
    </x:row>
    <x:row r="25">
      <x:c r="A25" s="50"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B25" s="51"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C25" s="51"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D25" s="51"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E25" s="52"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row>
    <x:row r="26">
      <x:c r="A26" s="53"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B26" s="54"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C26" s="54"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D26" s="54"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E26" s="55"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row>
    <x:row r="27">
      <x:c r="A27" s="56"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B27" s="57"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C27" s="57"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D27" s="57"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c r="E27" s="58" t="str">
        <x:v>Interpretation: rankings use the couple-funded Host-all-beds total. Venues may still use nearby overflow hotels, but the modeled budget must include those rooms and transport rather than shifting the cost to guests. Long travel and sprawling layouts also receive a material penalty. Research should verify room rates, room-night minimums, walking distance, terrain, accessibility and internal transportation. Direct/private proposals outrank generic web pricing, but conflicts stay visible until reconciled.</x:v>
      </x:c>
    </x:row>
  </x:sheetData>
  <x:mergeCells>
    <x:mergeCell ref="A1:E2"/>
    <x:mergeCell ref="A3:E3"/>
    <x:mergeCell ref="A25:E27"/>
  </x:mergeCells>
  <x:conditionalFormatting sqref="B22:B22">
    <x:cfRule type="expression" dxfId="0" priority="1">
      <x:formula>ABS(B22-1)&lt;0.000001</x:formula>
    </x:cfRule>
    <x:cfRule type="expression" dxfId="1" priority="2">
      <x:formula>ABS(B22-1)&gt;=0.000001</x:formula>
    </x:cfRule>
  </x:conditionalFormatting>
  <x:pageMargins left="0.7" right="0.7" top="0.75" bottom="0.75" header="0.3" footer="0.3"/>
  <x:tableParts count="1">
    <x:tablePart xmlns:r="http://schemas.openxmlformats.org/officeDocument/2006/relationships" r:id="Rf4a3bc54d303489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24" hidden="0" customWidth="1"/>
    <x:col min="4" max="4" width="9" hidden="0" customWidth="1"/>
    <x:col min="5" max="5" width="8" hidden="0" customWidth="1"/>
    <x:col min="6" max="6" width="12" hidden="0" customWidth="1"/>
    <x:col min="7" max="7" width="28" hidden="0" customWidth="1"/>
    <x:col min="8" max="8" width="28" hidden="0" customWidth="1"/>
    <x:col min="9" max="9" width="10" hidden="0" customWidth="1"/>
    <x:col min="10" max="10" width="10" hidden="0" customWidth="1"/>
    <x:col min="11" max="11" width="14" hidden="0" customWidth="1"/>
    <x:col min="12" max="12" width="14" hidden="0" customWidth="1"/>
    <x:col min="13" max="13" width="11" hidden="0" customWidth="1"/>
    <x:col min="14" max="14" width="15" hidden="0" customWidth="1"/>
    <x:col min="15" max="15" width="16" hidden="0" customWidth="1"/>
    <x:col min="16" max="16" width="15" hidden="0" customWidth="1"/>
    <x:col min="17" max="17" width="16" hidden="0" customWidth="1"/>
    <x:col min="18" max="18" width="13" hidden="0" customWidth="1"/>
    <x:col min="19" max="19" width="13" hidden="0" customWidth="1"/>
    <x:col min="20" max="20" width="13" hidden="0" customWidth="1"/>
    <x:col min="21" max="21" width="12" hidden="0" customWidth="1"/>
    <x:col min="22" max="22" width="12" hidden="0" customWidth="1"/>
    <x:col min="23" max="23" width="16" hidden="0" customWidth="1"/>
    <x:col min="24" max="24" width="13" hidden="0" customWidth="1"/>
    <x:col min="25" max="25" width="11" hidden="0" customWidth="1"/>
    <x:col min="26" max="26" width="13" hidden="0" customWidth="1"/>
    <x:col min="27" max="27" width="14" hidden="0" customWidth="1"/>
    <x:col min="28" max="28" width="17" hidden="0" customWidth="1"/>
    <x:col min="29" max="29" width="14" hidden="0" customWidth="1"/>
    <x:col min="30" max="30" width="18" hidden="0" customWidth="1"/>
  </x:cols>
  <x:sheetData>
    <x:row r="1" ht="34" customHeight="1">
      <x:c r="A1" s="3" t="str">
        <x:v>Shortlist cost model</x:v>
      </x:c>
      <x:c r="B1" s="3" t="str">
        <x:v>Shortlist cost model</x:v>
      </x:c>
      <x:c r="C1" s="3" t="str">
        <x:v>Shortlist cost model</x:v>
      </x:c>
      <x:c r="D1" s="3" t="str">
        <x:v>Shortlist cost model</x:v>
      </x:c>
      <x:c r="E1" s="3" t="str">
        <x:v>Shortlist cost model</x:v>
      </x:c>
      <x:c r="F1" s="3" t="str">
        <x:v>Shortlist cost model</x:v>
      </x:c>
      <x:c r="G1" s="3" t="str">
        <x:v>Shortlist cost model</x:v>
      </x:c>
      <x:c r="H1" s="3" t="str">
        <x:v>Shortlist cost model</x:v>
      </x:c>
      <x:c r="I1" s="3" t="str">
        <x:v>Shortlist cost model</x:v>
      </x:c>
      <x:c r="J1" s="3" t="str">
        <x:v>Shortlist cost model</x:v>
      </x:c>
      <x:c r="K1" s="3" t="str">
        <x:v>Shortlist cost model</x:v>
      </x:c>
      <x:c r="L1" s="3" t="str">
        <x:v>Shortlist cost model</x:v>
      </x:c>
      <x:c r="M1" s="3" t="str">
        <x:v>Shortlist cost model</x:v>
      </x:c>
      <x:c r="N1" s="3" t="str">
        <x:v>Shortlist cost model</x:v>
      </x:c>
      <x:c r="O1" s="3" t="str">
        <x:v>Shortlist cost model</x:v>
      </x:c>
      <x:c r="P1" s="3" t="str">
        <x:v>Shortlist cost model</x:v>
      </x:c>
      <x:c r="Q1" s="3" t="str">
        <x:v>Shortlist cost model</x:v>
      </x:c>
      <x:c r="R1" s="3" t="str">
        <x:v>Shortlist cost model</x:v>
      </x:c>
      <x:c r="S1" s="3" t="str">
        <x:v>Shortlist cost model</x:v>
      </x:c>
      <x:c r="T1" s="3" t="str">
        <x:v>Shortlist cost model</x:v>
      </x:c>
      <x:c r="U1" s="3" t="str">
        <x:v>Shortlist cost model</x:v>
      </x:c>
      <x:c r="V1" s="3" t="str">
        <x:v>Shortlist cost model</x:v>
      </x:c>
      <x:c r="W1" s="3" t="str">
        <x:v>Shortlist cost model</x:v>
      </x:c>
      <x:c r="X1" s="3" t="str">
        <x:v>Shortlist cost model</x:v>
      </x:c>
      <x:c r="Y1" s="3" t="str">
        <x:v>Shortlist cost model</x:v>
      </x:c>
      <x:c r="Z1" s="3" t="str">
        <x:v>Shortlist cost model</x:v>
      </x:c>
      <x:c r="AA1" s="3" t="str">
        <x:v>Shortlist cost model</x:v>
      </x:c>
      <x:c r="AB1" s="3" t="str">
        <x:v>Shortlist cost model</x:v>
      </x:c>
      <x:c r="AC1" s="3" t="str">
        <x:v>Shortlist cost model</x:v>
      </x:c>
      <x:c r="AD1" s="3" t="str">
        <x:v>Shortlist cost model</x:v>
      </x:c>
    </x:row>
    <x:row r="2" ht="34" customHeight="1">
      <x:c r="A2" s="3" t="str">
        <x:v>Shortlist cost model</x:v>
      </x:c>
      <x:c r="B2" s="3" t="str">
        <x:v>Shortlist cost model</x:v>
      </x:c>
      <x:c r="C2" s="3" t="str">
        <x:v>Shortlist cost model</x:v>
      </x:c>
      <x:c r="D2" s="3" t="str">
        <x:v>Shortlist cost model</x:v>
      </x:c>
      <x:c r="E2" s="3" t="str">
        <x:v>Shortlist cost model</x:v>
      </x:c>
      <x:c r="F2" s="3" t="str">
        <x:v>Shortlist cost model</x:v>
      </x:c>
      <x:c r="G2" s="3" t="str">
        <x:v>Shortlist cost model</x:v>
      </x:c>
      <x:c r="H2" s="3" t="str">
        <x:v>Shortlist cost model</x:v>
      </x:c>
      <x:c r="I2" s="3" t="str">
        <x:v>Shortlist cost model</x:v>
      </x:c>
      <x:c r="J2" s="3" t="str">
        <x:v>Shortlist cost model</x:v>
      </x:c>
      <x:c r="K2" s="3" t="str">
        <x:v>Shortlist cost model</x:v>
      </x:c>
      <x:c r="L2" s="3" t="str">
        <x:v>Shortlist cost model</x:v>
      </x:c>
      <x:c r="M2" s="3" t="str">
        <x:v>Shortlist cost model</x:v>
      </x:c>
      <x:c r="N2" s="3" t="str">
        <x:v>Shortlist cost model</x:v>
      </x:c>
      <x:c r="O2" s="3" t="str">
        <x:v>Shortlist cost model</x:v>
      </x:c>
      <x:c r="P2" s="3" t="str">
        <x:v>Shortlist cost model</x:v>
      </x:c>
      <x:c r="Q2" s="3" t="str">
        <x:v>Shortlist cost model</x:v>
      </x:c>
      <x:c r="R2" s="3" t="str">
        <x:v>Shortlist cost model</x:v>
      </x:c>
      <x:c r="S2" s="3" t="str">
        <x:v>Shortlist cost model</x:v>
      </x:c>
      <x:c r="T2" s="3" t="str">
        <x:v>Shortlist cost model</x:v>
      </x:c>
      <x:c r="U2" s="3" t="str">
        <x:v>Shortlist cost model</x:v>
      </x:c>
      <x:c r="V2" s="3" t="str">
        <x:v>Shortlist cost model</x:v>
      </x:c>
      <x:c r="W2" s="3" t="str">
        <x:v>Shortlist cost model</x:v>
      </x:c>
      <x:c r="X2" s="3" t="str">
        <x:v>Shortlist cost model</x:v>
      </x:c>
      <x:c r="Y2" s="3" t="str">
        <x:v>Shortlist cost model</x:v>
      </x:c>
      <x:c r="Z2" s="3" t="str">
        <x:v>Shortlist cost model</x:v>
      </x:c>
      <x:c r="AA2" s="3" t="str">
        <x:v>Shortlist cost model</x:v>
      </x:c>
      <x:c r="AB2" s="3" t="str">
        <x:v>Shortlist cost model</x:v>
      </x:c>
      <x:c r="AC2" s="3" t="str">
        <x:v>Shortlist cost model</x:v>
      </x:c>
      <x:c r="AD2" s="3" t="str">
        <x:v>Shortlist cost model</x:v>
      </x:c>
    </x:row>
    <x:row r="3" ht="30" customHeight="1">
      <x:c r="A3" s="7" t="str">
        <x:v>Primary decision total is Host-all-beds: the couple funds required and overflow lodging. Base total is retained only as a guest-paid-room fallback. Change assumptions to stress-test 2028 and FX.</x:v>
      </x:c>
      <x:c r="B3" s="7" t="str">
        <x:v>Primary decision total is Host-all-beds: the couple funds required and overflow lodging. Base total is retained only as a guest-paid-room fallback. Change assumptions to stress-test 2028 and FX.</x:v>
      </x:c>
      <x:c r="C3" s="7" t="str">
        <x:v>Primary decision total is Host-all-beds: the couple funds required and overflow lodging. Base total is retained only as a guest-paid-room fallback. Change assumptions to stress-test 2028 and FX.</x:v>
      </x:c>
      <x:c r="D3" s="7" t="str">
        <x:v>Primary decision total is Host-all-beds: the couple funds required and overflow lodging. Base total is retained only as a guest-paid-room fallback. Change assumptions to stress-test 2028 and FX.</x:v>
      </x:c>
      <x:c r="E3" s="7" t="str">
        <x:v>Primary decision total is Host-all-beds: the couple funds required and overflow lodging. Base total is retained only as a guest-paid-room fallback. Change assumptions to stress-test 2028 and FX.</x:v>
      </x:c>
      <x:c r="F3" s="7" t="str">
        <x:v>Primary decision total is Host-all-beds: the couple funds required and overflow lodging. Base total is retained only as a guest-paid-room fallback. Change assumptions to stress-test 2028 and FX.</x:v>
      </x:c>
      <x:c r="G3" s="7" t="str">
        <x:v>Primary decision total is Host-all-beds: the couple funds required and overflow lodging. Base total is retained only as a guest-paid-room fallback. Change assumptions to stress-test 2028 and FX.</x:v>
      </x:c>
      <x:c r="H3" s="7" t="str">
        <x:v>Primary decision total is Host-all-beds: the couple funds required and overflow lodging. Base total is retained only as a guest-paid-room fallback. Change assumptions to stress-test 2028 and FX.</x:v>
      </x:c>
      <x:c r="I3" s="7" t="str">
        <x:v>Primary decision total is Host-all-beds: the couple funds required and overflow lodging. Base total is retained only as a guest-paid-room fallback. Change assumptions to stress-test 2028 and FX.</x:v>
      </x:c>
      <x:c r="J3" s="7" t="str">
        <x:v>Primary decision total is Host-all-beds: the couple funds required and overflow lodging. Base total is retained only as a guest-paid-room fallback. Change assumptions to stress-test 2028 and FX.</x:v>
      </x:c>
      <x:c r="K3" s="7" t="str">
        <x:v>Primary decision total is Host-all-beds: the couple funds required and overflow lodging. Base total is retained only as a guest-paid-room fallback. Change assumptions to stress-test 2028 and FX.</x:v>
      </x:c>
      <x:c r="L3" s="7" t="str">
        <x:v>Primary decision total is Host-all-beds: the couple funds required and overflow lodging. Base total is retained only as a guest-paid-room fallback. Change assumptions to stress-test 2028 and FX.</x:v>
      </x:c>
      <x:c r="M3" s="7" t="str">
        <x:v>Primary decision total is Host-all-beds: the couple funds required and overflow lodging. Base total is retained only as a guest-paid-room fallback. Change assumptions to stress-test 2028 and FX.</x:v>
      </x:c>
      <x:c r="N3" s="7" t="str">
        <x:v>Primary decision total is Host-all-beds: the couple funds required and overflow lodging. Base total is retained only as a guest-paid-room fallback. Change assumptions to stress-test 2028 and FX.</x:v>
      </x:c>
      <x:c r="O3" s="7" t="str">
        <x:v>Primary decision total is Host-all-beds: the couple funds required and overflow lodging. Base total is retained only as a guest-paid-room fallback. Change assumptions to stress-test 2028 and FX.</x:v>
      </x:c>
      <x:c r="P3" s="7" t="str">
        <x:v>Primary decision total is Host-all-beds: the couple funds required and overflow lodging. Base total is retained only as a guest-paid-room fallback. Change assumptions to stress-test 2028 and FX.</x:v>
      </x:c>
      <x:c r="Q3" s="7" t="str">
        <x:v>Primary decision total is Host-all-beds: the couple funds required and overflow lodging. Base total is retained only as a guest-paid-room fallback. Change assumptions to stress-test 2028 and FX.</x:v>
      </x:c>
      <x:c r="R3" s="7" t="str">
        <x:v>Primary decision total is Host-all-beds: the couple funds required and overflow lodging. Base total is retained only as a guest-paid-room fallback. Change assumptions to stress-test 2028 and FX.</x:v>
      </x:c>
      <x:c r="S3" s="7" t="str">
        <x:v>Primary decision total is Host-all-beds: the couple funds required and overflow lodging. Base total is retained only as a guest-paid-room fallback. Change assumptions to stress-test 2028 and FX.</x:v>
      </x:c>
      <x:c r="T3" s="7" t="str">
        <x:v>Primary decision total is Host-all-beds: the couple funds required and overflow lodging. Base total is retained only as a guest-paid-room fallback. Change assumptions to stress-test 2028 and FX.</x:v>
      </x:c>
      <x:c r="U3" s="7" t="str">
        <x:v>Primary decision total is Host-all-beds: the couple funds required and overflow lodging. Base total is retained only as a guest-paid-room fallback. Change assumptions to stress-test 2028 and FX.</x:v>
      </x:c>
      <x:c r="V3" s="7" t="str">
        <x:v>Primary decision total is Host-all-beds: the couple funds required and overflow lodging. Base total is retained only as a guest-paid-room fallback. Change assumptions to stress-test 2028 and FX.</x:v>
      </x:c>
      <x:c r="W3" s="7" t="str">
        <x:v>Primary decision total is Host-all-beds: the couple funds required and overflow lodging. Base total is retained only as a guest-paid-room fallback. Change assumptions to stress-test 2028 and FX.</x:v>
      </x:c>
      <x:c r="X3" s="7" t="str">
        <x:v>Primary decision total is Host-all-beds: the couple funds required and overflow lodging. Base total is retained only as a guest-paid-room fallback. Change assumptions to stress-test 2028 and FX.</x:v>
      </x:c>
      <x:c r="Y3" s="7" t="str">
        <x:v>Primary decision total is Host-all-beds: the couple funds required and overflow lodging. Base total is retained only as a guest-paid-room fallback. Change assumptions to stress-test 2028 and FX.</x:v>
      </x:c>
      <x:c r="Z3" s="7" t="str">
        <x:v>Primary decision total is Host-all-beds: the couple funds required and overflow lodging. Base total is retained only as a guest-paid-room fallback. Change assumptions to stress-test 2028 and FX.</x:v>
      </x:c>
      <x:c r="AA3" s="7" t="str">
        <x:v>Primary decision total is Host-all-beds: the couple funds required and overflow lodging. Base total is retained only as a guest-paid-room fallback. Change assumptions to stress-test 2028 and FX.</x:v>
      </x:c>
      <x:c r="AB3" s="7" t="str">
        <x:v>Primary decision total is Host-all-beds: the couple funds required and overflow lodging. Base total is retained only as a guest-paid-room fallback. Change assumptions to stress-test 2028 and FX.</x:v>
      </x:c>
      <x:c r="AC3" s="7" t="str">
        <x:v>Primary decision total is Host-all-beds: the couple funds required and overflow lodging. Base total is retained only as a guest-paid-room fallback. Change assumptions to stress-test 2028 and FX.</x:v>
      </x:c>
      <x:c r="AD3" s="7" t="str">
        <x:v>Primary decision total is Host-all-beds: the couple funds required and overflow lodging. Base total is retained only as a guest-paid-room fallback. Change assumptions to stress-test 2028 and FX.</x:v>
      </x:c>
    </x:row>
    <x:row r="4" ht="34" customHeight="1">
      <x:c r="A4" s="12" t="str">
        <x:v>Priority</x:v>
      </x:c>
      <x:c r="B4" s="12" t="str">
        <x:v>Venue</x:v>
      </x:c>
      <x:c r="C4" s="12" t="str">
        <x:v>Region</x:v>
      </x:c>
      <x:c r="D4" s="12" t="str">
        <x:v>Guests</x:v>
      </x:c>
      <x:c r="E4" s="12" t="str">
        <x:v>Nights</x:v>
      </x:c>
      <x:c r="F4" s="12" t="str">
        <x:v>Sleeps onsite</x:v>
      </x:c>
      <x:c r="G4" s="12" t="str">
        <x:v>Scenario</x:v>
      </x:c>
      <x:c r="H4" s="12" t="str">
        <x:v>Evidence</x:v>
      </x:c>
      <x:c r="I4" s="12" t="str">
        <x:v>Price year</x:v>
      </x:c>
      <x:c r="J4" s="12" t="str">
        <x:v>Currency</x:v>
      </x:c>
      <x:c r="K4" s="12" t="str">
        <x:v>Flat core (local)</x:v>
      </x:c>
      <x:c r="L4" s="12" t="str">
        <x:v>Per-person core</x:v>
      </x:c>
      <x:c r="M4" s="12" t="str">
        <x:v>Service/tax %</x:v>
      </x:c>
      <x:c r="N4" s="12" t="str">
        <x:v>Core USD adjusted</x:v>
      </x:c>
      <x:c r="O4" s="12" t="str">
        <x:v>Host-offsite lodging gap</x:v>
      </x:c>
      <x:c r="P4" s="12" t="str">
        <x:v>Welcome/farewell gap</x:v>
      </x:c>
      <x:c r="Q4" s="12" t="str">
        <x:v>Wedding F&amp;B/bar gap</x:v>
      </x:c>
      <x:c r="R4" s="12" t="str">
        <x:v>Rentals/tent</x:v>
      </x:c>
      <x:c r="S4" s="12" t="str">
        <x:v>Décor/florals</x:v>
      </x:c>
      <x:c r="T4" s="12" t="str">
        <x:v>Planning/coord.</x:v>
      </x:c>
      <x:c r="U4" s="12" t="str">
        <x:v>Music/AV</x:v>
      </x:c>
      <x:c r="V4" s="12" t="str">
        <x:v>Transport</x:v>
      </x:c>
      <x:c r="W4" s="12" t="str">
        <x:v>Other/cake/officiant</x:v>
      </x:c>
      <x:c r="X4" s="12" t="str">
        <x:v>Photo/video</x:v>
      </x:c>
      <x:c r="Y4" s="12" t="str">
        <x:v>HMU</x:v>
      </x:c>
      <x:c r="Z4" s="12" t="str">
        <x:v>Contingency</x:v>
      </x:c>
      <x:c r="AA4" s="12" t="str">
        <x:v>Base total</x:v>
      </x:c>
      <x:c r="AB4" s="12" t="str">
        <x:v>Host-all-beds total</x:v>
      </x:c>
      <x:c r="AC4" s="12" t="str">
        <x:v>Base status</x:v>
      </x:c>
      <x:c r="AD4" s="12" t="str">
        <x:v>Host-all-beds status</x:v>
      </x:c>
    </x:row>
    <x:row r="5">
      <x:c r="A5" s="16" t="n">
        <x:v>1</x:v>
      </x:c>
      <x:c r="B5" s="16" t="str">
        <x:v>Castello di Petrata</x:v>
      </x:c>
      <x:c r="C5" s="16" t="str">
        <x:v>Umbria, Italy</x:v>
      </x:c>
      <x:c r="D5" s="16" t="n">
        <x:v>100</x:v>
      </x:c>
      <x:c r="E5" s="16" t="n">
        <x:v>2</x:v>
      </x:c>
      <x:c r="F5" s="16" t="n">
        <x:v>100</x:v>
      </x:c>
      <x:c r="G5" s="16" t="str">
        <x:v>Early-May weekend 2027</x:v>
      </x:c>
      <x:c r="H5" s="16" t="str">
        <x:v>Official 2027 package</x:v>
      </x:c>
      <x:c r="I5" s="16" t="n">
        <x:v>2027</x:v>
      </x:c>
      <x:c r="J5" s="16" t="str">
        <x:v>EUR</x:v>
      </x:c>
      <x:c r="K5" s="59" t="n">
        <x:v>57500</x:v>
      </x:c>
      <x:c r="L5" s="59" t="n">
        <x:v>0</x:v>
      </x:c>
      <x:c r="M5" s="60" t="n">
        <x:v>0</x:v>
      </x:c>
      <x:c r="N5" s="61" t="n">
        <x:f>ROUND((K5+L5*D5)*IF(J5="EUR",'Assumptions'!$B$9,1)*POWER(1+'Assumptions'!$B$10,MAX(0,'Assumptions'!$B$6-I5))*(1+M5),0)</x:f>
        <x:v>66125</x:v>
      </x:c>
      <x:c r="O5" s="61" t="n">
        <x:v>0</x:v>
      </x:c>
      <x:c r="P5" s="61" t="n">
        <x:v>2500</x:v>
      </x:c>
      <x:c r="Q5" s="61" t="n">
        <x:v>1500</x:v>
      </x:c>
      <x:c r="R5" s="61" t="n">
        <x:v>0</x:v>
      </x:c>
      <x:c r="S5" s="61" t="n">
        <x:v>5000</x:v>
      </x:c>
      <x:c r="T5" s="61" t="n">
        <x:v>2500</x:v>
      </x:c>
      <x:c r="U5" s="61" t="n">
        <x:v>3500</x:v>
      </x:c>
      <x:c r="V5" s="61" t="n">
        <x:v>5000</x:v>
      </x:c>
      <x:c r="W5" s="61" t="n">
        <x:v>1500</x:v>
      </x:c>
      <x:c r="X5" s="61" t="n">
        <x:f>'Assumptions'!$B$14</x:f>
        <x:v>10000</x:v>
      </x:c>
      <x:c r="Y5" s="61" t="n">
        <x:f>'Assumptions'!$B$15</x:f>
        <x:v>2500</x:v>
      </x:c>
      <x:c r="Z5" s="61" t="n">
        <x:f>ROUND(SUM(P5:W5)*'Assumptions'!$B$11,0)</x:f>
        <x:v>1720</x:v>
      </x:c>
      <x:c r="AA5" s="61" t="n">
        <x:f>ROUND(N5+SUM(P5:Y5)+Z5,0)</x:f>
        <x:v>101845</x:v>
      </x:c>
      <x:c r="AB5" s="61" t="n">
        <x:f>ROUND(AA5+O5*(1+'Assumptions'!$B$11),0)</x:f>
        <x:v>101845</x:v>
      </x:c>
      <x:c r="AC5" s="16" t="str">
        <x:f>IF(AA5&lt;='Assumptions'!$B$7,"Under target",IF(AA5&lt;='Assumptions'!$B$8,"Within max","Over max"))</x:f>
        <x:v>Within max</x:v>
      </x:c>
      <x:c r="AD5" s="16" t="str">
        <x:f>IF(AB5&lt;='Assumptions'!$B$7,"Under target",IF(AB5&lt;='Assumptions'!$B$8,"Within max","Over max"))</x:f>
        <x:v>Within max</x:v>
      </x:c>
    </x:row>
    <x:row r="6">
      <x:c r="A6" s="16" t="n">
        <x:v>2</x:v>
      </x:c>
      <x:c r="B6" s="16" t="str">
        <x:v>La Pousterle de Sabran</x:v>
      </x:c>
      <x:c r="C6" s="16" t="str">
        <x:v>Gard / Provence, France</x:v>
      </x:c>
      <x:c r="D6" s="16" t="n">
        <x:v>100</x:v>
      </x:c>
      <x:c r="E6" s="16" t="n">
        <x:v>2</x:v>
      </x:c>
      <x:c r="F6" s="16" t="n">
        <x:v>100</x:v>
      </x:c>
      <x:c r="G6" s="16" t="str">
        <x:v>2027 weekend</x:v>
      </x:c>
      <x:c r="H6" s="16" t="str">
        <x:v>Official 2026–27 rental; missing vendors modeled</x:v>
      </x:c>
      <x:c r="I6" s="16" t="n">
        <x:v>2027</x:v>
      </x:c>
      <x:c r="J6" s="16" t="str">
        <x:v>EUR</x:v>
      </x:c>
      <x:c r="K6" s="59" t="n">
        <x:v>10450</x:v>
      </x:c>
      <x:c r="L6" s="59" t="n">
        <x:v>0</x:v>
      </x:c>
      <x:c r="M6" s="60" t="n">
        <x:v>0</x:v>
      </x:c>
      <x:c r="N6" s="61" t="n">
        <x:f>ROUND((K6+L6*D6)*IF(J6="EUR",'Assumptions'!$B$9,1)*POWER(1+'Assumptions'!$B$10,MAX(0,'Assumptions'!$B$6-I6))*(1+M6),0)</x:f>
        <x:v>12017</x:v>
      </x:c>
      <x:c r="O6" s="61" t="n">
        <x:v>0</x:v>
      </x:c>
      <x:c r="P6" s="61" t="n">
        <x:v>8000</x:v>
      </x:c>
      <x:c r="Q6" s="61" t="n">
        <x:v>28000</x:v>
      </x:c>
      <x:c r="R6" s="61" t="n">
        <x:v>3000</x:v>
      </x:c>
      <x:c r="S6" s="61" t="n">
        <x:v>7000</x:v>
      </x:c>
      <x:c r="T6" s="61" t="n">
        <x:v>6000</x:v>
      </x:c>
      <x:c r="U6" s="61" t="n">
        <x:v>4000</x:v>
      </x:c>
      <x:c r="V6" s="61" t="n">
        <x:v>5000</x:v>
      </x:c>
      <x:c r="W6" s="61" t="n">
        <x:v>2000</x:v>
      </x:c>
      <x:c r="X6" s="61" t="n">
        <x:f>'Assumptions'!$B$14</x:f>
        <x:v>10000</x:v>
      </x:c>
      <x:c r="Y6" s="61" t="n">
        <x:f>'Assumptions'!$B$15</x:f>
        <x:v>2500</x:v>
      </x:c>
      <x:c r="Z6" s="61" t="n">
        <x:f>ROUND(SUM(P6:W6)*'Assumptions'!$B$11,0)</x:f>
        <x:v>5040</x:v>
      </x:c>
      <x:c r="AA6" s="61" t="n">
        <x:f>ROUND(N6+SUM(P6:Y6)+Z6,0)</x:f>
        <x:v>92557</x:v>
      </x:c>
      <x:c r="AB6" s="61" t="n">
        <x:f>ROUND(AA6+O6*(1+'Assumptions'!$B$11),0)</x:f>
        <x:v>92557</x:v>
      </x:c>
      <x:c r="AC6" s="16" t="str">
        <x:f>IF(AA6&lt;='Assumptions'!$B$7,"Under target",IF(AA6&lt;='Assumptions'!$B$8,"Within max","Over max"))</x:f>
        <x:v>Under target</x:v>
      </x:c>
      <x:c r="AD6" s="16" t="str">
        <x:f>IF(AB6&lt;='Assumptions'!$B$7,"Under target",IF(AB6&lt;='Assumptions'!$B$8,"Within max","Over max"))</x:f>
        <x:v>Under target</x:v>
      </x:c>
    </x:row>
    <x:row r="7">
      <x:c r="A7" s="16" t="n">
        <x:v>3</x:v>
      </x:c>
      <x:c r="B7" s="16" t="str">
        <x:v>Quinta da Bichinha / Quinta de São Gonçalo</x:v>
      </x:c>
      <x:c r="C7" s="16" t="str">
        <x:v>Lisbon district, Portugal</x:v>
      </x:c>
      <x:c r="D7" s="16" t="n">
        <x:v>100</x:v>
      </x:c>
      <x:c r="E7" s="16" t="n">
        <x:v>2</x:v>
      </x:c>
      <x:c r="F7" s="16" t="n">
        <x:v>50</x:v>
      </x:c>
      <x:c r="G7" s="16" t="str">
        <x:v>High-season weekend 2027</x:v>
      </x:c>
      <x:c r="H7" s="16" t="str">
        <x:v>Indexed official 2027 package; PDF should be re-requested</x:v>
      </x:c>
      <x:c r="I7" s="16" t="n">
        <x:v>2027</x:v>
      </x:c>
      <x:c r="J7" s="16" t="str">
        <x:v>EUR</x:v>
      </x:c>
      <x:c r="K7" s="59" t="n">
        <x:v>37440</x:v>
      </x:c>
      <x:c r="L7" s="59" t="n">
        <x:v>0</x:v>
      </x:c>
      <x:c r="M7" s="60" t="n">
        <x:v>0</x:v>
      </x:c>
      <x:c r="N7" s="61" t="n">
        <x:f>ROUND((K7+L7*D7)*IF(J7="EUR",'Assumptions'!$B$9,1)*POWER(1+'Assumptions'!$B$10,MAX(0,'Assumptions'!$B$6-I7))*(1+M7),0)</x:f>
        <x:v>43056</x:v>
      </x:c>
      <x:c r="O7" s="61" t="n">
        <x:v>12500</x:v>
      </x:c>
      <x:c r="P7" s="61" t="n">
        <x:v>12000</x:v>
      </x:c>
      <x:c r="Q7" s="61" t="n">
        <x:v>3000</x:v>
      </x:c>
      <x:c r="R7" s="61" t="n">
        <x:v>2000</x:v>
      </x:c>
      <x:c r="S7" s="61" t="n">
        <x:v>6000</x:v>
      </x:c>
      <x:c r="T7" s="61" t="n">
        <x:v>4000</x:v>
      </x:c>
      <x:c r="U7" s="61" t="n">
        <x:v>4000</x:v>
      </x:c>
      <x:c r="V7" s="61" t="n">
        <x:v>5000</x:v>
      </x:c>
      <x:c r="W7" s="61" t="n">
        <x:v>2000</x:v>
      </x:c>
      <x:c r="X7" s="61" t="n">
        <x:f>'Assumptions'!$B$14</x:f>
        <x:v>10000</x:v>
      </x:c>
      <x:c r="Y7" s="61" t="n">
        <x:f>'Assumptions'!$B$15</x:f>
        <x:v>2500</x:v>
      </x:c>
      <x:c r="Z7" s="61" t="n">
        <x:f>ROUND(SUM(P7:W7)*'Assumptions'!$B$11,0)</x:f>
        <x:v>3040</x:v>
      </x:c>
      <x:c r="AA7" s="61" t="n">
        <x:f>ROUND(N7+SUM(P7:Y7)+Z7,0)</x:f>
        <x:v>96596</x:v>
      </x:c>
      <x:c r="AB7" s="61" t="n">
        <x:f>ROUND(AA7+O7*(1+'Assumptions'!$B$11),0)</x:f>
        <x:v>110096</x:v>
      </x:c>
      <x:c r="AC7" s="16" t="str">
        <x:f>IF(AA7&lt;='Assumptions'!$B$7,"Under target",IF(AA7&lt;='Assumptions'!$B$8,"Within max","Over max"))</x:f>
        <x:v>Under target</x:v>
      </x:c>
      <x:c r="AD7" s="16" t="str">
        <x:f>IF(AB7&lt;='Assumptions'!$B$7,"Under target",IF(AB7&lt;='Assumptions'!$B$8,"Within max","Over max"))</x:f>
        <x:v>Within max</x:v>
      </x:c>
    </x:row>
    <x:row r="8">
      <x:c r="A8" s="16" t="n">
        <x:v>4</x:v>
      </x:c>
      <x:c r="B8" s="16" t="str">
        <x:v>Finca Santa Fe</x:v>
      </x:c>
      <x:c r="C8" s="16" t="str">
        <x:v>Andalusia, Spain</x:v>
      </x:c>
      <x:c r="D8" s="16" t="n">
        <x:v>100</x:v>
      </x:c>
      <x:c r="E8" s="16" t="n">
        <x:v>3</x:v>
      </x:c>
      <x:c r="F8" s="16" t="n">
        <x:v>12</x:v>
      </x:c>
      <x:c r="G8" s="16" t="str">
        <x:v>Three-day package</x:v>
      </x:c>
      <x:c r="H8" s="16" t="str">
        <x:v>Official current package</x:v>
      </x:c>
      <x:c r="I8" s="16" t="n">
        <x:v>2026</x:v>
      </x:c>
      <x:c r="J8" s="16" t="str">
        <x:v>EUR</x:v>
      </x:c>
      <x:c r="K8" s="59" t="n">
        <x:v>20350</x:v>
      </x:c>
      <x:c r="L8" s="59" t="n">
        <x:v>0</x:v>
      </x:c>
      <x:c r="M8" s="60" t="n">
        <x:v>0</x:v>
      </x:c>
      <x:c r="N8" s="61" t="n">
        <x:f>ROUND((K8+L8*D8)*IF(J8="EUR",'Assumptions'!$B$9,1)*POWER(1+'Assumptions'!$B$10,MAX(0,'Assumptions'!$B$6-I8))*(1+M8),0)</x:f>
        <x:v>24573</x:v>
      </x:c>
      <x:c r="O8" s="61" t="n">
        <x:v>22000</x:v>
      </x:c>
      <x:c r="P8" s="61" t="n">
        <x:v>8000</x:v>
      </x:c>
      <x:c r="Q8" s="61" t="n">
        <x:v>5000</x:v>
      </x:c>
      <x:c r="R8" s="61" t="n">
        <x:v>2000</x:v>
      </x:c>
      <x:c r="S8" s="61" t="n">
        <x:v>8000</x:v>
      </x:c>
      <x:c r="T8" s="61" t="n">
        <x:v>1000</x:v>
      </x:c>
      <x:c r="U8" s="61" t="n">
        <x:v>0</x:v>
      </x:c>
      <x:c r="V8" s="61" t="n">
        <x:v>7000</x:v>
      </x:c>
      <x:c r="W8" s="61" t="n">
        <x:v>3000</x:v>
      </x:c>
      <x:c r="X8" s="61" t="n">
        <x:f>'Assumptions'!$B$14</x:f>
        <x:v>10000</x:v>
      </x:c>
      <x:c r="Y8" s="61" t="n">
        <x:f>'Assumptions'!$B$15</x:f>
        <x:v>2500</x:v>
      </x:c>
      <x:c r="Z8" s="61" t="n">
        <x:f>ROUND(SUM(P8:W8)*'Assumptions'!$B$11,0)</x:f>
        <x:v>2720</x:v>
      </x:c>
      <x:c r="AA8" s="61" t="n">
        <x:f>ROUND(N8+SUM(P8:Y8)+Z8,0)</x:f>
        <x:v>73793</x:v>
      </x:c>
      <x:c r="AB8" s="61" t="n">
        <x:f>ROUND(AA8+O8*(1+'Assumptions'!$B$11),0)</x:f>
        <x:v>97553</x:v>
      </x:c>
      <x:c r="AC8" s="16" t="str">
        <x:f>IF(AA8&lt;='Assumptions'!$B$7,"Under target",IF(AA8&lt;='Assumptions'!$B$8,"Within max","Over max"))</x:f>
        <x:v>Under target</x:v>
      </x:c>
      <x:c r="AD8" s="16" t="str">
        <x:f>IF(AB8&lt;='Assumptions'!$B$7,"Under target",IF(AB8&lt;='Assumptions'!$B$8,"Within max","Over max"))</x:f>
        <x:v>Under target</x:v>
      </x:c>
    </x:row>
    <x:row r="9">
      <x:c r="A9" s="16" t="n">
        <x:v>5</x:v>
      </x:c>
      <x:c r="B9" s="16" t="str">
        <x:v>Blenheim Hill Farm</x:v>
      </x:c>
      <x:c r="C9" s="16" t="str">
        <x:v>Jefferson, New York</x:v>
      </x:c>
      <x:c r="D9" s="16" t="n">
        <x:v>150</x:v>
      </x:c>
      <x:c r="E9" s="16" t="n">
        <x:v>2</x:v>
      </x:c>
      <x:c r="F9" s="16" t="n">
        <x:v>40</x:v>
      </x:c>
      <x:c r="G9" s="16" t="str">
        <x:v>Weekend + food/bar + hosted overflow lodging</x:v>
      </x:c>
      <x:c r="H9" s="16" t="str">
        <x:v>Official calculator; $45k allowance for roughly 110 overflow guests</x:v>
      </x:c>
      <x:c r="I9" s="16" t="n">
        <x:v>2026</x:v>
      </x:c>
      <x:c r="J9" s="16" t="str">
        <x:v>USD</x:v>
      </x:c>
      <x:c r="K9" s="59" t="n">
        <x:v>15500</x:v>
      </x:c>
      <x:c r="L9" s="59" t="n">
        <x:v>144</x:v>
      </x:c>
      <x:c r="M9" s="60" t="n">
        <x:v>0.08</x:v>
      </x:c>
      <x:c r="N9" s="61" t="n">
        <x:f>ROUND((K9+L9*D9)*IF(J9="EUR",'Assumptions'!$B$9,1)*POWER(1+'Assumptions'!$B$10,MAX(0,'Assumptions'!$B$6-I9))*(1+M9),0)</x:f>
        <x:v>42071</x:v>
      </x:c>
      <x:c r="O9" s="61" t="n">
        <x:v>45000</x:v>
      </x:c>
      <x:c r="P9" s="61" t="n">
        <x:v>9300</x:v>
      </x:c>
      <x:c r="Q9" s="61" t="n">
        <x:v>0</x:v>
      </x:c>
      <x:c r="R9" s="61" t="n">
        <x:v>0</x:v>
      </x:c>
      <x:c r="S9" s="61" t="n">
        <x:v>6000</x:v>
      </x:c>
      <x:c r="T9" s="61" t="n">
        <x:v>0</x:v>
      </x:c>
      <x:c r="U9" s="61" t="n">
        <x:v>5000</x:v>
      </x:c>
      <x:c r="V9" s="61" t="n">
        <x:v>4000</x:v>
      </x:c>
      <x:c r="W9" s="61" t="n">
        <x:v>2000</x:v>
      </x:c>
      <x:c r="X9" s="61" t="n">
        <x:f>'Assumptions'!$B$14</x:f>
        <x:v>10000</x:v>
      </x:c>
      <x:c r="Y9" s="61" t="n">
        <x:f>'Assumptions'!$B$15</x:f>
        <x:v>2500</x:v>
      </x:c>
      <x:c r="Z9" s="61" t="n">
        <x:f>ROUND(SUM(P9:W9)*'Assumptions'!$B$11,0)</x:f>
        <x:v>2104</x:v>
      </x:c>
      <x:c r="AA9" s="61" t="n">
        <x:f>ROUND(N9+SUM(P9:Y9)+Z9,0)</x:f>
        <x:v>82975</x:v>
      </x:c>
      <x:c r="AB9" s="61" t="n">
        <x:f>ROUND(AA9+O9*(1+'Assumptions'!$B$11),0)</x:f>
        <x:v>131575</x:v>
      </x:c>
      <x:c r="AC9" s="16" t="str">
        <x:f>IF(AA9&lt;='Assumptions'!$B$7,"Under target",IF(AA9&lt;='Assumptions'!$B$8,"Within max","Over max"))</x:f>
        <x:v>Under target</x:v>
      </x:c>
      <x:c r="AD9" s="16" t="str">
        <x:f>IF(AB9&lt;='Assumptions'!$B$7,"Under target",IF(AB9&lt;='Assumptions'!$B$8,"Within max","Over max"))</x:f>
        <x:v>Over max</x:v>
      </x:c>
    </x:row>
    <x:row r="10">
      <x:c r="A10" s="16" t="n">
        <x:v>6</x:v>
      </x:c>
      <x:c r="B10" s="16" t="str">
        <x:v>Full Moon Resort</x:v>
      </x:c>
      <x:c r="C10" s="16" t="str">
        <x:v>Big Indian, New York</x:v>
      </x:c>
      <x:c r="D10" s="16" t="n">
        <x:v>150</x:v>
      </x:c>
      <x:c r="E10" s="16" t="n">
        <x:v>2</x:v>
      </x:c>
      <x:c r="F10" s="16" t="n">
        <x:v>150</x:v>
      </x:c>
      <x:c r="G10" s="16" t="str">
        <x:v>Mid-tier peak weekend</x:v>
      </x:c>
      <x:c r="H10" s="16" t="str">
        <x:v>Current public $150–$320 pp range; midpoint model</x:v>
      </x:c>
      <x:c r="I10" s="16" t="n">
        <x:v>2026</x:v>
      </x:c>
      <x:c r="J10" s="16" t="str">
        <x:v>USD</x:v>
      </x:c>
      <x:c r="K10" s="59" t="n">
        <x:v>0</x:v>
      </x:c>
      <x:c r="L10" s="59" t="n">
        <x:v>230</x:v>
      </x:c>
      <x:c r="M10" s="60" t="n">
        <x:v>0</x:v>
      </x:c>
      <x:c r="N10" s="61" t="n">
        <x:f>ROUND((K10+L10*D10)*IF(J10="EUR",'Assumptions'!$B$9,1)*POWER(1+'Assumptions'!$B$10,MAX(0,'Assumptions'!$B$6-I10))*(1+M10),0)</x:f>
        <x:v>36225</x:v>
      </x:c>
      <x:c r="O10" s="61" t="n">
        <x:v>35000</x:v>
      </x:c>
      <x:c r="P10" s="61" t="n">
        <x:v>13000</x:v>
      </x:c>
      <x:c r="Q10" s="61" t="n">
        <x:v>0</x:v>
      </x:c>
      <x:c r="R10" s="61" t="n">
        <x:v>0</x:v>
      </x:c>
      <x:c r="S10" s="61" t="n">
        <x:v>7000</x:v>
      </x:c>
      <x:c r="T10" s="61" t="n">
        <x:v>0</x:v>
      </x:c>
      <x:c r="U10" s="61" t="n">
        <x:v>5000</x:v>
      </x:c>
      <x:c r="V10" s="61" t="n">
        <x:v>4000</x:v>
      </x:c>
      <x:c r="W10" s="61" t="n">
        <x:v>3000</x:v>
      </x:c>
      <x:c r="X10" s="61" t="n">
        <x:f>'Assumptions'!$B$14</x:f>
        <x:v>10000</x:v>
      </x:c>
      <x:c r="Y10" s="61" t="n">
        <x:f>'Assumptions'!$B$15</x:f>
        <x:v>2500</x:v>
      </x:c>
      <x:c r="Z10" s="61" t="n">
        <x:f>ROUND(SUM(P10:W10)*'Assumptions'!$B$11,0)</x:f>
        <x:v>2560</x:v>
      </x:c>
      <x:c r="AA10" s="61" t="n">
        <x:f>ROUND(N10+SUM(P10:Y10)+Z10,0)</x:f>
        <x:v>83285</x:v>
      </x:c>
      <x:c r="AB10" s="61" t="n">
        <x:f>ROUND(AA10+O10*(1+'Assumptions'!$B$11),0)</x:f>
        <x:v>121085</x:v>
      </x:c>
      <x:c r="AC10" s="16" t="str">
        <x:f>IF(AA10&lt;='Assumptions'!$B$7,"Under target",IF(AA10&lt;='Assumptions'!$B$8,"Within max","Over max"))</x:f>
        <x:v>Under target</x:v>
      </x:c>
      <x:c r="AD10" s="16" t="str">
        <x:f>IF(AB10&lt;='Assumptions'!$B$7,"Under target",IF(AB10&lt;='Assumptions'!$B$8,"Within max","Over max"))</x:f>
        <x:v>Over max</x:v>
      </x:c>
    </x:row>
    <x:row r="11">
      <x:c r="A11" s="16" t="n">
        <x:v>8</x:v>
      </x:c>
      <x:c r="B11" s="16" t="str">
        <x:v>Magnanini Winery</x:v>
      </x:c>
      <x:c r="C11" s="16" t="str">
        <x:v>Wallkill, New York</x:v>
      </x:c>
      <x:c r="D11" s="16" t="n">
        <x:v>150</x:v>
      </x:c>
      <x:c r="E11" s="16" t="n">
        <x:v>1</x:v>
      </x:c>
      <x:c r="F11" s="16" t="n">
        <x:v>4</x:v>
      </x:c>
      <x:c r="G11" s="16" t="str">
        <x:v>Midpoint site + $175 pp</x:v>
      </x:c>
      <x:c r="H11" s="16" t="str">
        <x:v>Official current wedding rates</x:v>
      </x:c>
      <x:c r="I11" s="16" t="n">
        <x:v>2026</x:v>
      </x:c>
      <x:c r="J11" s="16" t="str">
        <x:v>USD</x:v>
      </x:c>
      <x:c r="K11" s="59" t="n">
        <x:v>7000</x:v>
      </x:c>
      <x:c r="L11" s="59" t="n">
        <x:v>175</x:v>
      </x:c>
      <x:c r="M11" s="60" t="n">
        <x:v>0.3</x:v>
      </x:c>
      <x:c r="N11" s="61" t="n">
        <x:f>ROUND((K11+L11*D11)*IF(J11="EUR",'Assumptions'!$B$9,1)*POWER(1+'Assumptions'!$B$10,MAX(0,'Assumptions'!$B$6-I11))*(1+M11),0)</x:f>
        <x:v>45386</x:v>
      </x:c>
      <x:c r="O11" s="61" t="n">
        <x:v>45000</x:v>
      </x:c>
      <x:c r="P11" s="61" t="n">
        <x:v>5000</x:v>
      </x:c>
      <x:c r="Q11" s="61" t="n">
        <x:v>0</x:v>
      </x:c>
      <x:c r="R11" s="61" t="n">
        <x:v>0</x:v>
      </x:c>
      <x:c r="S11" s="61" t="n">
        <x:v>5000</x:v>
      </x:c>
      <x:c r="T11" s="61" t="n">
        <x:v>0</x:v>
      </x:c>
      <x:c r="U11" s="61" t="n">
        <x:v>5000</x:v>
      </x:c>
      <x:c r="V11" s="61" t="n">
        <x:v>4000</x:v>
      </x:c>
      <x:c r="W11" s="61" t="n">
        <x:v>2000</x:v>
      </x:c>
      <x:c r="X11" s="61" t="n">
        <x:f>'Assumptions'!$B$14</x:f>
        <x:v>10000</x:v>
      </x:c>
      <x:c r="Y11" s="61" t="n">
        <x:f>'Assumptions'!$B$15</x:f>
        <x:v>2500</x:v>
      </x:c>
      <x:c r="Z11" s="61" t="n">
        <x:f>ROUND(SUM(P11:W11)*'Assumptions'!$B$11,0)</x:f>
        <x:v>1680</x:v>
      </x:c>
      <x:c r="AA11" s="61" t="n">
        <x:f>ROUND(N11+SUM(P11:Y11)+Z11,0)</x:f>
        <x:v>80566</x:v>
      </x:c>
      <x:c r="AB11" s="61" t="n">
        <x:f>ROUND(AA11+O11*(1+'Assumptions'!$B$11),0)</x:f>
        <x:v>129166</x:v>
      </x:c>
      <x:c r="AC11" s="16" t="str">
        <x:f>IF(AA11&lt;='Assumptions'!$B$7,"Under target",IF(AA11&lt;='Assumptions'!$B$8,"Within max","Over max"))</x:f>
        <x:v>Under target</x:v>
      </x:c>
      <x:c r="AD11" s="16" t="str">
        <x:f>IF(AB11&lt;='Assumptions'!$B$7,"Under target",IF(AB11&lt;='Assumptions'!$B$8,"Within max","Over max"))</x:f>
        <x:v>Over max</x:v>
      </x:c>
    </x:row>
    <x:row r="12">
      <x:c r="A12" s="16" t="n">
        <x:v>9</x:v>
      </x:c>
      <x:c r="B12" s="16" t="str">
        <x:v>Arrow Park</x:v>
      </x:c>
      <x:c r="C12" s="16" t="str">
        <x:v>Monroe, New York</x:v>
      </x:c>
      <x:c r="D12" s="16" t="n">
        <x:v>150</x:v>
      </x:c>
      <x:c r="E12" s="16" t="n">
        <x:v>1</x:v>
      </x:c>
      <x:c r="F12" s="16" t="n">
        <x:v>28</x:v>
      </x:c>
      <x:c r="G12" s="16" t="str">
        <x:v>Private peak-Saturday quote + loaded F&amp;B allowance</x:v>
      </x:c>
      <x:c r="H12" s="16" t="str">
        <x:v>User-held proposal; catering/bar modeled at $250/person loaded</x:v>
      </x:c>
      <x:c r="I12" s="16" t="n">
        <x:v>2026</x:v>
      </x:c>
      <x:c r="J12" s="16" t="str">
        <x:v>USD</x:v>
      </x:c>
      <x:c r="K12" s="59" t="n">
        <x:v>35480.51</x:v>
      </x:c>
      <x:c r="L12" s="59" t="n">
        <x:v>250</x:v>
      </x:c>
      <x:c r="M12" s="60" t="n">
        <x:v>0</x:v>
      </x:c>
      <x:c r="N12" s="61" t="n">
        <x:f>ROUND((K12+L12*D12)*IF(J12="EUR",'Assumptions'!$B$9,1)*POWER(1+'Assumptions'!$B$10,MAX(0,'Assumptions'!$B$6-I12))*(1+M12),0)</x:f>
        <x:v>76630</x:v>
      </x:c>
      <x:c r="O12" s="61" t="n">
        <x:v>30000</x:v>
      </x:c>
      <x:c r="P12" s="61" t="n">
        <x:v>7000</x:v>
      </x:c>
      <x:c r="Q12" s="61" t="n">
        <x:v>0</x:v>
      </x:c>
      <x:c r="R12" s="61" t="n">
        <x:v>0</x:v>
      </x:c>
      <x:c r="S12" s="61" t="n">
        <x:v>5000</x:v>
      </x:c>
      <x:c r="T12" s="61" t="n">
        <x:v>0</x:v>
      </x:c>
      <x:c r="U12" s="61" t="n">
        <x:v>5000</x:v>
      </x:c>
      <x:c r="V12" s="61" t="n">
        <x:v>5000</x:v>
      </x:c>
      <x:c r="W12" s="61" t="n">
        <x:v>2000</x:v>
      </x:c>
      <x:c r="X12" s="61" t="n">
        <x:f>'Assumptions'!$B$14</x:f>
        <x:v>10000</x:v>
      </x:c>
      <x:c r="Y12" s="61" t="n">
        <x:f>'Assumptions'!$B$15</x:f>
        <x:v>2500</x:v>
      </x:c>
      <x:c r="Z12" s="61" t="n">
        <x:f>ROUND(SUM(P12:W12)*'Assumptions'!$B$11,0)</x:f>
        <x:v>1920</x:v>
      </x:c>
      <x:c r="AA12" s="61" t="n">
        <x:f>ROUND(N12+SUM(P12:Y12)+Z12,0)</x:f>
        <x:v>115050</x:v>
      </x:c>
      <x:c r="AB12" s="61" t="n">
        <x:f>ROUND(AA12+O12*(1+'Assumptions'!$B$11),0)</x:f>
        <x:v>147450</x:v>
      </x:c>
      <x:c r="AC12" s="16" t="str">
        <x:f>IF(AA12&lt;='Assumptions'!$B$7,"Under target",IF(AA12&lt;='Assumptions'!$B$8,"Within max","Over max"))</x:f>
        <x:v>Within max</x:v>
      </x:c>
      <x:c r="AD12" s="16" t="str">
        <x:f>IF(AB12&lt;='Assumptions'!$B$7,"Under target",IF(AB12&lt;='Assumptions'!$B$8,"Within max","Over max"))</x:f>
        <x:v>Over max</x:v>
      </x:c>
    </x:row>
    <x:row r="13">
      <x:c r="A13" s="16" t="n">
        <x:v>10</x:v>
      </x:c>
      <x:c r="B13" s="16" t="str">
        <x:v>Crested Hen Farms</x:v>
      </x:c>
      <x:c r="C13" s="16" t="str">
        <x:v>High Falls, New York</x:v>
      </x:c>
      <x:c r="D13" s="16" t="n">
        <x:v>150</x:v>
      </x:c>
      <x:c r="E13" s="16" t="n">
        <x:v>2</x:v>
      </x:c>
      <x:c r="F13" s="16" t="n">
        <x:v>21</x:v>
      </x:c>
      <x:c r="G13" s="16" t="str">
        <x:v>User $19k weekend quote + modeled vendors</x:v>
      </x:c>
      <x:c r="H13" s="16" t="str">
        <x:v>User quote/private package; F&amp;B, tent and late events modeled</x:v>
      </x:c>
      <x:c r="I13" s="16" t="n">
        <x:v>2026</x:v>
      </x:c>
      <x:c r="J13" s="16" t="str">
        <x:v>USD</x:v>
      </x:c>
      <x:c r="K13" s="59" t="n">
        <x:v>19000</x:v>
      </x:c>
      <x:c r="L13" s="59" t="n">
        <x:v>0</x:v>
      </x:c>
      <x:c r="M13" s="60" t="n">
        <x:v>0</x:v>
      </x:c>
      <x:c r="N13" s="61" t="n">
        <x:f>ROUND((K13+L13*D13)*IF(J13="EUR",'Assumptions'!$B$9,1)*POWER(1+'Assumptions'!$B$10,MAX(0,'Assumptions'!$B$6-I13))*(1+M13),0)</x:f>
        <x:v>19950</x:v>
      </x:c>
      <x:c r="O13" s="61" t="n">
        <x:v>36000</x:v>
      </x:c>
      <x:c r="P13" s="61" t="n">
        <x:v>5000</x:v>
      </x:c>
      <x:c r="Q13" s="61" t="n">
        <x:v>32000</x:v>
      </x:c>
      <x:c r="R13" s="61" t="n">
        <x:v>10000</x:v>
      </x:c>
      <x:c r="S13" s="61" t="n">
        <x:v>5000</x:v>
      </x:c>
      <x:c r="T13" s="61" t="n">
        <x:v>3000</x:v>
      </x:c>
      <x:c r="U13" s="61" t="n">
        <x:v>5000</x:v>
      </x:c>
      <x:c r="V13" s="61" t="n">
        <x:v>4000</x:v>
      </x:c>
      <x:c r="W13" s="61" t="n">
        <x:v>2000</x:v>
      </x:c>
      <x:c r="X13" s="61" t="n">
        <x:f>'Assumptions'!$B$14</x:f>
        <x:v>10000</x:v>
      </x:c>
      <x:c r="Y13" s="61" t="n">
        <x:f>'Assumptions'!$B$15</x:f>
        <x:v>2500</x:v>
      </x:c>
      <x:c r="Z13" s="61" t="n">
        <x:f>ROUND(SUM(P13:W13)*'Assumptions'!$B$11,0)</x:f>
        <x:v>5280</x:v>
      </x:c>
      <x:c r="AA13" s="61" t="n">
        <x:f>ROUND(N13+SUM(P13:Y13)+Z13,0)</x:f>
        <x:v>103730</x:v>
      </x:c>
      <x:c r="AB13" s="61" t="n">
        <x:f>ROUND(AA13+O13*(1+'Assumptions'!$B$11),0)</x:f>
        <x:v>142610</x:v>
      </x:c>
      <x:c r="AC13" s="16" t="str">
        <x:f>IF(AA13&lt;='Assumptions'!$B$7,"Under target",IF(AA13&lt;='Assumptions'!$B$8,"Within max","Over max"))</x:f>
        <x:v>Within max</x:v>
      </x:c>
      <x:c r="AD13" s="16" t="str">
        <x:f>IF(AB13&lt;='Assumptions'!$B$7,"Under target",IF(AB13&lt;='Assumptions'!$B$8,"Within max","Over max"))</x:f>
        <x:v>Over max</x:v>
      </x:c>
    </x:row>
    <x:row r="14">
      <x:c r="A14" s="16" t="n">
        <x:v>11</x:v>
      </x:c>
      <x:c r="B14" s="16" t="str">
        <x:v>Candlelight Farms Inn</x:v>
      </x:c>
      <x:c r="C14" s="16" t="str">
        <x:v>New Milford, Connecticut</x:v>
      </x:c>
      <x:c r="D14" s="16" t="n">
        <x:v>150</x:v>
      </x:c>
      <x:c r="E14" s="16" t="n">
        <x:v>2</x:v>
      </x:c>
      <x:c r="F14" s="16" t="n">
        <x:v>10</x:v>
      </x:c>
      <x:c r="G14" s="16" t="str">
        <x:v>Official weekend package + modeled vendors</x:v>
      </x:c>
      <x:c r="H14" s="16" t="str">
        <x:v>Current official $20k weekend + 15% service; curfew fails preference</x:v>
      </x:c>
      <x:c r="I14" s="16" t="n">
        <x:v>2026</x:v>
      </x:c>
      <x:c r="J14" s="16" t="str">
        <x:v>USD</x:v>
      </x:c>
      <x:c r="K14" s="59" t="n">
        <x:v>20000</x:v>
      </x:c>
      <x:c r="L14" s="59" t="n">
        <x:v>0</x:v>
      </x:c>
      <x:c r="M14" s="60" t="n">
        <x:v>0.15</x:v>
      </x:c>
      <x:c r="N14" s="61" t="n">
        <x:f>ROUND((K14+L14*D14)*IF(J14="EUR",'Assumptions'!$B$9,1)*POWER(1+'Assumptions'!$B$10,MAX(0,'Assumptions'!$B$6-I14))*(1+M14),0)</x:f>
        <x:v>24150</x:v>
      </x:c>
      <x:c r="O14" s="61" t="n">
        <x:v>45000</x:v>
      </x:c>
      <x:c r="P14" s="61" t="n">
        <x:v>6000</x:v>
      </x:c>
      <x:c r="Q14" s="61" t="n">
        <x:v>40000</x:v>
      </x:c>
      <x:c r="R14" s="61" t="n">
        <x:v>12000</x:v>
      </x:c>
      <x:c r="S14" s="61" t="n">
        <x:v>4000</x:v>
      </x:c>
      <x:c r="T14" s="61" t="n">
        <x:v>5000</x:v>
      </x:c>
      <x:c r="U14" s="61" t="n">
        <x:v>5000</x:v>
      </x:c>
      <x:c r="V14" s="61" t="n">
        <x:v>4000</x:v>
      </x:c>
      <x:c r="W14" s="61" t="n">
        <x:v>2000</x:v>
      </x:c>
      <x:c r="X14" s="61" t="n">
        <x:f>'Assumptions'!$B$14</x:f>
        <x:v>10000</x:v>
      </x:c>
      <x:c r="Y14" s="61" t="n">
        <x:f>'Assumptions'!$B$15</x:f>
        <x:v>2500</x:v>
      </x:c>
      <x:c r="Z14" s="61" t="n">
        <x:f>ROUND(SUM(P14:W14)*'Assumptions'!$B$11,0)</x:f>
        <x:v>6240</x:v>
      </x:c>
      <x:c r="AA14" s="61" t="n">
        <x:f>ROUND(N14+SUM(P14:Y14)+Z14,0)</x:f>
        <x:v>120890</x:v>
      </x:c>
      <x:c r="AB14" s="61" t="n">
        <x:f>ROUND(AA14+O14*(1+'Assumptions'!$B$11),0)</x:f>
        <x:v>169490</x:v>
      </x:c>
      <x:c r="AC14" s="16" t="str">
        <x:f>IF(AA14&lt;='Assumptions'!$B$7,"Under target",IF(AA14&lt;='Assumptions'!$B$8,"Within max","Over max"))</x:f>
        <x:v>Over max</x:v>
      </x:c>
      <x:c r="AD14" s="16" t="str">
        <x:f>IF(AB14&lt;='Assumptions'!$B$7,"Under target",IF(AB14&lt;='Assumptions'!$B$8,"Within max","Over max"))</x:f>
        <x:v>Over max</x:v>
      </x:c>
    </x:row>
    <x:row r="15">
      <x:c r="A15" s="16" t="n">
        <x:v>10</x:v>
      </x:c>
      <x:c r="B15" s="16" t="str">
        <x:v>Quinta d'Anta Hotel Rural</x:v>
      </x:c>
      <x:c r="C15" s="16" t="str">
        <x:v>Coimbra district, Portugal</x:v>
      </x:c>
      <x:c r="D15" s="16" t="n">
        <x:v>100</x:v>
      </x:c>
      <x:c r="E15" s="16" t="n">
        <x:v>2</x:v>
      </x:c>
      <x:c r="F15" s="16" t="n">
        <x:v>36</x:v>
      </x:c>
      <x:c r="G15" s="16" t="str">
        <x:v>€80 pp published start + modeled gaps</x:v>
      </x:c>
      <x:c r="H15" s="16" t="str">
        <x:v>Current listing / hotel package</x:v>
      </x:c>
      <x:c r="I15" s="16" t="n">
        <x:v>2026</x:v>
      </x:c>
      <x:c r="J15" s="16" t="str">
        <x:v>EUR</x:v>
      </x:c>
      <x:c r="K15" s="59" t="n">
        <x:v>0</x:v>
      </x:c>
      <x:c r="L15" s="59" t="n">
        <x:v>80</x:v>
      </x:c>
      <x:c r="M15" s="60" t="n">
        <x:v>0</x:v>
      </x:c>
      <x:c r="N15" s="61" t="n">
        <x:f>ROUND((K15+L15*D15)*IF(J15="EUR",'Assumptions'!$B$9,1)*POWER(1+'Assumptions'!$B$10,MAX(0,'Assumptions'!$B$6-I15))*(1+M15),0)</x:f>
        <x:v>9660</x:v>
      </x:c>
      <x:c r="O15" s="61" t="n">
        <x:v>12000</x:v>
      </x:c>
      <x:c r="P15" s="61" t="n">
        <x:v>12000</x:v>
      </x:c>
      <x:c r="Q15" s="61" t="n">
        <x:v>7000</x:v>
      </x:c>
      <x:c r="R15" s="61" t="n">
        <x:v>3000</x:v>
      </x:c>
      <x:c r="S15" s="61" t="n">
        <x:v>8000</x:v>
      </x:c>
      <x:c r="T15" s="61" t="n">
        <x:v>7000</x:v>
      </x:c>
      <x:c r="U15" s="61" t="n">
        <x:v>4000</x:v>
      </x:c>
      <x:c r="V15" s="61" t="n">
        <x:v>6000</x:v>
      </x:c>
      <x:c r="W15" s="61" t="n">
        <x:v>3000</x:v>
      </x:c>
      <x:c r="X15" s="61" t="n">
        <x:f>'Assumptions'!$B$14</x:f>
        <x:v>10000</x:v>
      </x:c>
      <x:c r="Y15" s="61" t="n">
        <x:f>'Assumptions'!$B$15</x:f>
        <x:v>2500</x:v>
      </x:c>
      <x:c r="Z15" s="61" t="n">
        <x:f>ROUND(SUM(P15:W15)*'Assumptions'!$B$11,0)</x:f>
        <x:v>4000</x:v>
      </x:c>
      <x:c r="AA15" s="61" t="n">
        <x:f>ROUND(N15+SUM(P15:Y15)+Z15,0)</x:f>
        <x:v>76160</x:v>
      </x:c>
      <x:c r="AB15" s="61" t="n">
        <x:f>ROUND(AA15+O15*(1+'Assumptions'!$B$11),0)</x:f>
        <x:v>89120</x:v>
      </x:c>
      <x:c r="AC15" s="16" t="str">
        <x:f>IF(AA15&lt;='Assumptions'!$B$7,"Under target",IF(AA15&lt;='Assumptions'!$B$8,"Within max","Over max"))</x:f>
        <x:v>Under target</x:v>
      </x:c>
      <x:c r="AD15" s="16" t="str">
        <x:f>IF(AB15&lt;='Assumptions'!$B$7,"Under target",IF(AB15&lt;='Assumptions'!$B$8,"Within max","Over max"))</x:f>
        <x:v>Under target</x:v>
      </x:c>
    </x:row>
    <x:row r="16">
      <x:c r="A16" s="16" t="n">
        <x:v>11</x:v>
      </x:c>
      <x:c r="B16" s="16" t="str">
        <x:v>Diacceroni Weddings</x:v>
      </x:c>
      <x:c r="C16" s="16" t="str">
        <x:v>Tuscany, Italy</x:v>
      </x:c>
      <x:c r="D16" s="16" t="n">
        <x:v>100</x:v>
      </x:c>
      <x:c r="E16" s="16" t="n">
        <x:v>2</x:v>
      </x:c>
      <x:c r="F16" s="16" t="n">
        <x:v>100</x:v>
      </x:c>
      <x:c r="G16" s="16" t="str">
        <x:v>Quote allowance</x:v>
      </x:c>
      <x:c r="H16" s="16" t="str">
        <x:v>Package scope verified; wedding price unpublished</x:v>
      </x:c>
      <x:c r="I16" s="16" t="n">
        <x:v>2027</x:v>
      </x:c>
      <x:c r="J16" s="16" t="str">
        <x:v>EUR</x:v>
      </x:c>
      <x:c r="K16" s="59" t="n">
        <x:v>60000</x:v>
      </x:c>
      <x:c r="L16" s="59" t="n">
        <x:v>0</x:v>
      </x:c>
      <x:c r="M16" s="60" t="n">
        <x:v>0</x:v>
      </x:c>
      <x:c r="N16" s="61" t="n">
        <x:f>ROUND((K16+L16*D16)*IF(J16="EUR",'Assumptions'!$B$9,1)*POWER(1+'Assumptions'!$B$10,MAX(0,'Assumptions'!$B$6-I16))*(1+M16),0)</x:f>
        <x:v>69000</x:v>
      </x:c>
      <x:c r="O16" s="61" t="n">
        <x:v>0</x:v>
      </x:c>
      <x:c r="P16" s="61" t="n">
        <x:v>2000</x:v>
      </x:c>
      <x:c r="Q16" s="61" t="n">
        <x:v>3000</x:v>
      </x:c>
      <x:c r="R16" s="61" t="n">
        <x:v>0</x:v>
      </x:c>
      <x:c r="S16" s="61" t="n">
        <x:v>6000</x:v>
      </x:c>
      <x:c r="T16" s="61" t="n">
        <x:v>3000</x:v>
      </x:c>
      <x:c r="U16" s="61" t="n">
        <x:v>4000</x:v>
      </x:c>
      <x:c r="V16" s="61" t="n">
        <x:v>5000</x:v>
      </x:c>
      <x:c r="W16" s="61" t="n">
        <x:v>2000</x:v>
      </x:c>
      <x:c r="X16" s="61" t="n">
        <x:f>'Assumptions'!$B$14</x:f>
        <x:v>10000</x:v>
      </x:c>
      <x:c r="Y16" s="61" t="n">
        <x:f>'Assumptions'!$B$15</x:f>
        <x:v>2500</x:v>
      </x:c>
      <x:c r="Z16" s="61" t="n">
        <x:f>ROUND(SUM(P16:W16)*'Assumptions'!$B$11,0)</x:f>
        <x:v>2000</x:v>
      </x:c>
      <x:c r="AA16" s="61" t="n">
        <x:f>ROUND(N16+SUM(P16:Y16)+Z16,0)</x:f>
        <x:v>108500</x:v>
      </x:c>
      <x:c r="AB16" s="61" t="n">
        <x:f>ROUND(AA16+O16*(1+'Assumptions'!$B$11),0)</x:f>
        <x:v>108500</x:v>
      </x:c>
      <x:c r="AC16" s="16" t="str">
        <x:f>IF(AA16&lt;='Assumptions'!$B$7,"Under target",IF(AA16&lt;='Assumptions'!$B$8,"Within max","Over max"))</x:f>
        <x:v>Within max</x:v>
      </x:c>
      <x:c r="AD16" s="16" t="str">
        <x:f>IF(AB16&lt;='Assumptions'!$B$7,"Under target",IF(AB16&lt;='Assumptions'!$B$8,"Within max","Over max"))</x:f>
        <x:v>Within max</x:v>
      </x:c>
    </x:row>
    <x:row r="17">
      <x:c r="A17" s="16" t="n">
        <x:v>12</x:v>
      </x:c>
      <x:c r="B17" s="16" t="str">
        <x:v>SPAO Borgo San Pietro Aquaeortus</x:v>
      </x:c>
      <x:c r="C17" s="16" t="str">
        <x:v>Umbria, Italy</x:v>
      </x:c>
      <x:c r="D17" s="16" t="n">
        <x:v>100</x:v>
      </x:c>
      <x:c r="E17" s="16" t="n">
        <x:v>3</x:v>
      </x:c>
      <x:c r="F17" s="16" t="n">
        <x:v>100</x:v>
      </x:c>
      <x:c r="G17" s="16" t="str">
        <x:v>100-person allowance</x:v>
      </x:c>
      <x:c r="H17" s="16" t="str">
        <x:v>Official €58k start for 75; 100-person core modeled at €72k</x:v>
      </x:c>
      <x:c r="I17" s="16" t="n">
        <x:v>2027</x:v>
      </x:c>
      <x:c r="J17" s="16" t="str">
        <x:v>EUR</x:v>
      </x:c>
      <x:c r="K17" s="59" t="n">
        <x:v>72000</x:v>
      </x:c>
      <x:c r="L17" s="59" t="n">
        <x:v>0</x:v>
      </x:c>
      <x:c r="M17" s="60" t="n">
        <x:v>0</x:v>
      </x:c>
      <x:c r="N17" s="61" t="n">
        <x:f>ROUND((K17+L17*D17)*IF(J17="EUR",'Assumptions'!$B$9,1)*POWER(1+'Assumptions'!$B$10,MAX(0,'Assumptions'!$B$6-I17))*(1+M17),0)</x:f>
        <x:v>82800</x:v>
      </x:c>
      <x:c r="O17" s="61" t="n">
        <x:v>0</x:v>
      </x:c>
      <x:c r="P17" s="61" t="n">
        <x:v>0</x:v>
      </x:c>
      <x:c r="Q17" s="61" t="n">
        <x:v>4000</x:v>
      </x:c>
      <x:c r="R17" s="61" t="n">
        <x:v>0</x:v>
      </x:c>
      <x:c r="S17" s="61" t="n">
        <x:v>7000</x:v>
      </x:c>
      <x:c r="T17" s="61" t="n">
        <x:v>0</x:v>
      </x:c>
      <x:c r="U17" s="61" t="n">
        <x:v>4000</x:v>
      </x:c>
      <x:c r="V17" s="61" t="n">
        <x:v>5000</x:v>
      </x:c>
      <x:c r="W17" s="61" t="n">
        <x:v>2000</x:v>
      </x:c>
      <x:c r="X17" s="61" t="n">
        <x:f>'Assumptions'!$B$14</x:f>
        <x:v>10000</x:v>
      </x:c>
      <x:c r="Y17" s="61" t="n">
        <x:f>'Assumptions'!$B$15</x:f>
        <x:v>2500</x:v>
      </x:c>
      <x:c r="Z17" s="61" t="n">
        <x:f>ROUND(SUM(P17:W17)*'Assumptions'!$B$11,0)</x:f>
        <x:v>1760</x:v>
      </x:c>
      <x:c r="AA17" s="61" t="n">
        <x:f>ROUND(N17+SUM(P17:Y17)+Z17,0)</x:f>
        <x:v>119060</x:v>
      </x:c>
      <x:c r="AB17" s="61" t="n">
        <x:f>ROUND(AA17+O17*(1+'Assumptions'!$B$11),0)</x:f>
        <x:v>119060</x:v>
      </x:c>
      <x:c r="AC17" s="16" t="str">
        <x:f>IF(AA17&lt;='Assumptions'!$B$7,"Under target",IF(AA17&lt;='Assumptions'!$B$8,"Within max","Over max"))</x:f>
        <x:v>Within max</x:v>
      </x:c>
      <x:c r="AD17" s="16" t="str">
        <x:f>IF(AB17&lt;='Assumptions'!$B$7,"Under target",IF(AB17&lt;='Assumptions'!$B$8,"Within max","Over max"))</x:f>
        <x:v>Within max</x:v>
      </x:c>
    </x:row>
    <x:row r="18">
      <x:c r="A18" s="16" t="n">
        <x:v>13</x:v>
      </x:c>
      <x:c r="B18" s="16" t="str">
        <x:v>Borgo Divino</x:v>
      </x:c>
      <x:c r="C18" s="16" t="str">
        <x:v>Tuscany, Italy</x:v>
      </x:c>
      <x:c r="D18" s="16" t="n">
        <x:v>100</x:v>
      </x:c>
      <x:c r="E18" s="16" t="n">
        <x:v>2</x:v>
      </x:c>
      <x:c r="F18" s="16" t="n">
        <x:v>73</x:v>
      </x:c>
      <x:c r="G18" s="16" t="str">
        <x:v>Buyout allowance + €90 pp menu</x:v>
      </x:c>
      <x:c r="H18" s="16" t="str">
        <x:v>Menu published; buyout/lodging modeled</x:v>
      </x:c>
      <x:c r="I18" s="16" t="n">
        <x:v>2027</x:v>
      </x:c>
      <x:c r="J18" s="16" t="str">
        <x:v>EUR</x:v>
      </x:c>
      <x:c r="K18" s="59" t="n">
        <x:v>45000</x:v>
      </x:c>
      <x:c r="L18" s="59" t="n">
        <x:v>90</x:v>
      </x:c>
      <x:c r="M18" s="60" t="n">
        <x:v>0</x:v>
      </x:c>
      <x:c r="N18" s="61" t="n">
        <x:f>ROUND((K18+L18*D18)*IF(J18="EUR",'Assumptions'!$B$9,1)*POWER(1+'Assumptions'!$B$10,MAX(0,'Assumptions'!$B$6-I18))*(1+M18),0)</x:f>
        <x:v>62100</x:v>
      </x:c>
      <x:c r="O18" s="61" t="n">
        <x:v>10000</x:v>
      </x:c>
      <x:c r="P18" s="61" t="n">
        <x:v>7000</x:v>
      </x:c>
      <x:c r="Q18" s="61" t="n">
        <x:v>3000</x:v>
      </x:c>
      <x:c r="R18" s="61" t="n">
        <x:v>3000</x:v>
      </x:c>
      <x:c r="S18" s="61" t="n">
        <x:v>7000</x:v>
      </x:c>
      <x:c r="T18" s="61" t="n">
        <x:v>5000</x:v>
      </x:c>
      <x:c r="U18" s="61" t="n">
        <x:v>4000</x:v>
      </x:c>
      <x:c r="V18" s="61" t="n">
        <x:v>6000</x:v>
      </x:c>
      <x:c r="W18" s="61" t="n">
        <x:v>2000</x:v>
      </x:c>
      <x:c r="X18" s="61" t="n">
        <x:f>'Assumptions'!$B$14</x:f>
        <x:v>10000</x:v>
      </x:c>
      <x:c r="Y18" s="61" t="n">
        <x:f>'Assumptions'!$B$15</x:f>
        <x:v>2500</x:v>
      </x:c>
      <x:c r="Z18" s="61" t="n">
        <x:f>ROUND(SUM(P18:W18)*'Assumptions'!$B$11,0)</x:f>
        <x:v>2960</x:v>
      </x:c>
      <x:c r="AA18" s="61" t="n">
        <x:f>ROUND(N18+SUM(P18:Y18)+Z18,0)</x:f>
        <x:v>114560</x:v>
      </x:c>
      <x:c r="AB18" s="61" t="n">
        <x:f>ROUND(AA18+O18*(1+'Assumptions'!$B$11),0)</x:f>
        <x:v>125360</x:v>
      </x:c>
      <x:c r="AC18" s="16" t="str">
        <x:f>IF(AA18&lt;='Assumptions'!$B$7,"Under target",IF(AA18&lt;='Assumptions'!$B$8,"Within max","Over max"))</x:f>
        <x:v>Within max</x:v>
      </x:c>
      <x:c r="AD18" s="16" t="str">
        <x:f>IF(AB18&lt;='Assumptions'!$B$7,"Under target",IF(AB18&lt;='Assumptions'!$B$8,"Within max","Over max"))</x:f>
        <x:v>Over max</x:v>
      </x:c>
    </x:row>
    <x:row r="19">
      <x:c r="A19" s="16" t="n">
        <x:v>14</x:v>
      </x:c>
      <x:c r="B19" s="16" t="str">
        <x:v>Chateau Sentout</x:v>
      </x:c>
      <x:c r="C19" s="16" t="str">
        <x:v>Near Bordeaux, France</x:v>
      </x:c>
      <x:c r="D19" s="16" t="n">
        <x:v>100</x:v>
      </x:c>
      <x:c r="E19" s="16" t="n">
        <x:v>3</x:v>
      </x:c>
      <x:c r="F19" s="16" t="n">
        <x:v>50</x:v>
      </x:c>
      <x:c r="G19" s="16" t="str">
        <x:v>Peak 2027 rental + modeled vendors</x:v>
      </x:c>
      <x:c r="H19" s="16" t="str">
        <x:v>Official 2027/28 venue rates</x:v>
      </x:c>
      <x:c r="I19" s="16" t="n">
        <x:v>2027</x:v>
      </x:c>
      <x:c r="J19" s="16" t="str">
        <x:v>EUR</x:v>
      </x:c>
      <x:c r="K19" s="59" t="n">
        <x:v>13700</x:v>
      </x:c>
      <x:c r="L19" s="59" t="n">
        <x:v>0</x:v>
      </x:c>
      <x:c r="M19" s="60" t="n">
        <x:v>0</x:v>
      </x:c>
      <x:c r="N19" s="61" t="n">
        <x:f>ROUND((K19+L19*D19)*IF(J19="EUR",'Assumptions'!$B$9,1)*POWER(1+'Assumptions'!$B$10,MAX(0,'Assumptions'!$B$6-I19))*(1+M19),0)</x:f>
        <x:v>15755</x:v>
      </x:c>
      <x:c r="O19" s="61" t="n">
        <x:v>12000</x:v>
      </x:c>
      <x:c r="P19" s="61" t="n">
        <x:v>12000</x:v>
      </x:c>
      <x:c r="Q19" s="61" t="n">
        <x:v>25000</x:v>
      </x:c>
      <x:c r="R19" s="61" t="n">
        <x:v>3000</x:v>
      </x:c>
      <x:c r="S19" s="61" t="n">
        <x:v>8000</x:v>
      </x:c>
      <x:c r="T19" s="61" t="n">
        <x:v>7000</x:v>
      </x:c>
      <x:c r="U19" s="61" t="n">
        <x:v>4000</x:v>
      </x:c>
      <x:c r="V19" s="61" t="n">
        <x:v>6000</x:v>
      </x:c>
      <x:c r="W19" s="61" t="n">
        <x:v>2000</x:v>
      </x:c>
      <x:c r="X19" s="61" t="n">
        <x:f>'Assumptions'!$B$14</x:f>
        <x:v>10000</x:v>
      </x:c>
      <x:c r="Y19" s="61" t="n">
        <x:f>'Assumptions'!$B$15</x:f>
        <x:v>2500</x:v>
      </x:c>
      <x:c r="Z19" s="61" t="n">
        <x:f>ROUND(SUM(P19:W19)*'Assumptions'!$B$11,0)</x:f>
        <x:v>5360</x:v>
      </x:c>
      <x:c r="AA19" s="61" t="n">
        <x:f>ROUND(N19+SUM(P19:Y19)+Z19,0)</x:f>
        <x:v>100615</x:v>
      </x:c>
      <x:c r="AB19" s="61" t="n">
        <x:f>ROUND(AA19+O19*(1+'Assumptions'!$B$11),0)</x:f>
        <x:v>113575</x:v>
      </x:c>
      <x:c r="AC19" s="16" t="str">
        <x:f>IF(AA19&lt;='Assumptions'!$B$7,"Under target",IF(AA19&lt;='Assumptions'!$B$8,"Within max","Over max"))</x:f>
        <x:v>Within max</x:v>
      </x:c>
      <x:c r="AD19" s="16" t="str">
        <x:f>IF(AB19&lt;='Assumptions'!$B$7,"Under target",IF(AB19&lt;='Assumptions'!$B$8,"Within max","Over max"))</x:f>
        <x:v>Within max</x:v>
      </x:c>
    </x:row>
    <x:row r="20">
      <x:c r="A20" s="16" t="n">
        <x:v>15</x:v>
      </x:c>
      <x:c r="B20" s="16" t="str">
        <x:v>Lama di Luna Biomasseria</x:v>
      </x:c>
      <x:c r="C20" s="16" t="str">
        <x:v>Puglia, Italy</x:v>
      </x:c>
      <x:c r="D20" s="16" t="n">
        <x:v>100</x:v>
      </x:c>
      <x:c r="E20" s="16" t="n">
        <x:v>2</x:v>
      </x:c>
      <x:c r="F20" s="16" t="n">
        <x:v>29</x:v>
      </x:c>
      <x:c r="G20" s="16" t="str">
        <x:v>2025 rental + €200 pp catering escalated</x:v>
      </x:c>
      <x:c r="H20" s="16" t="str">
        <x:v>Published benchmark; 2027 quote required</x:v>
      </x:c>
      <x:c r="I20" s="16" t="n">
        <x:v>2025</x:v>
      </x:c>
      <x:c r="J20" s="16" t="str">
        <x:v>EUR</x:v>
      </x:c>
      <x:c r="K20" s="59" t="n">
        <x:v>10700</x:v>
      </x:c>
      <x:c r="L20" s="59" t="n">
        <x:v>200</x:v>
      </x:c>
      <x:c r="M20" s="60" t="n">
        <x:v>0.1</x:v>
      </x:c>
      <x:c r="N20" s="61" t="n">
        <x:f>ROUND((K20+L20*D20)*IF(J20="EUR",'Assumptions'!$B$9,1)*POWER(1+'Assumptions'!$B$10,MAX(0,'Assumptions'!$B$6-I20))*(1+M20),0)</x:f>
        <x:v>42816</x:v>
      </x:c>
      <x:c r="O20" s="61" t="n">
        <x:v>12000</x:v>
      </x:c>
      <x:c r="P20" s="61" t="n">
        <x:v>6000</x:v>
      </x:c>
      <x:c r="Q20" s="61" t="n">
        <x:v>3000</x:v>
      </x:c>
      <x:c r="R20" s="61" t="n">
        <x:v>3000</x:v>
      </x:c>
      <x:c r="S20" s="61" t="n">
        <x:v>7000</x:v>
      </x:c>
      <x:c r="T20" s="61" t="n">
        <x:v>5000</x:v>
      </x:c>
      <x:c r="U20" s="61" t="n">
        <x:v>4000</x:v>
      </x:c>
      <x:c r="V20" s="61" t="n">
        <x:v>6000</x:v>
      </x:c>
      <x:c r="W20" s="61" t="n">
        <x:v>2000</x:v>
      </x:c>
      <x:c r="X20" s="61" t="n">
        <x:f>'Assumptions'!$B$14</x:f>
        <x:v>10000</x:v>
      </x:c>
      <x:c r="Y20" s="61" t="n">
        <x:f>'Assumptions'!$B$15</x:f>
        <x:v>2500</x:v>
      </x:c>
      <x:c r="Z20" s="61" t="n">
        <x:f>ROUND(SUM(P20:W20)*'Assumptions'!$B$11,0)</x:f>
        <x:v>2880</x:v>
      </x:c>
      <x:c r="AA20" s="61" t="n">
        <x:f>ROUND(N20+SUM(P20:Y20)+Z20,0)</x:f>
        <x:v>94196</x:v>
      </x:c>
      <x:c r="AB20" s="61" t="n">
        <x:f>ROUND(AA20+O20*(1+'Assumptions'!$B$11),0)</x:f>
        <x:v>107156</x:v>
      </x:c>
      <x:c r="AC20" s="16" t="str">
        <x:f>IF(AA20&lt;='Assumptions'!$B$7,"Under target",IF(AA20&lt;='Assumptions'!$B$8,"Within max","Over max"))</x:f>
        <x:v>Under target</x:v>
      </x:c>
      <x:c r="AD20" s="16" t="str">
        <x:f>IF(AB20&lt;='Assumptions'!$B$7,"Under target",IF(AB20&lt;='Assumptions'!$B$8,"Within max","Over max"))</x:f>
        <x:v>Within max</x:v>
      </x:c>
    </x:row>
    <x:row r="21">
      <x:c r="A21" s="16" t="n">
        <x:v>16</x:v>
      </x:c>
      <x:c r="B21" s="16" t="str">
        <x:v>Inn at Fernbrook Farms</x:v>
      </x:c>
      <x:c r="C21" s="16" t="str">
        <x:v>Chesterfield, New Jersey</x:v>
      </x:c>
      <x:c r="D21" s="16" t="n">
        <x:v>150</x:v>
      </x:c>
      <x:c r="E21" s="16" t="n">
        <x:v>1</x:v>
      </x:c>
      <x:c r="F21" s="16" t="n">
        <x:v>14</x:v>
      </x:c>
      <x:c r="G21" s="16" t="str">
        <x:v>Midpoint site + $150 pp</x:v>
      </x:c>
      <x:c r="H21" s="16" t="str">
        <x:v>Official current starting rates; “++” estimated</x:v>
      </x:c>
      <x:c r="I21" s="16" t="n">
        <x:v>2026</x:v>
      </x:c>
      <x:c r="J21" s="16" t="str">
        <x:v>USD</x:v>
      </x:c>
      <x:c r="K21" s="59" t="n">
        <x:v>12500</x:v>
      </x:c>
      <x:c r="L21" s="59" t="n">
        <x:v>150</x:v>
      </x:c>
      <x:c r="M21" s="60" t="n">
        <x:v>0.285</x:v>
      </x:c>
      <x:c r="N21" s="61" t="n">
        <x:f>ROUND((K21+L21*D21)*IF(J21="EUR",'Assumptions'!$B$9,1)*POWER(1+'Assumptions'!$B$10,MAX(0,'Assumptions'!$B$6-I21))*(1+M21),0)</x:f>
        <x:v>47224</x:v>
      </x:c>
      <x:c r="O21" s="61" t="n">
        <x:v>40000</x:v>
      </x:c>
      <x:c r="P21" s="61" t="n">
        <x:v>6000</x:v>
      </x:c>
      <x:c r="Q21" s="61" t="n">
        <x:v>0</x:v>
      </x:c>
      <x:c r="R21" s="61" t="n">
        <x:v>5000</x:v>
      </x:c>
      <x:c r="S21" s="61" t="n">
        <x:v>6000</x:v>
      </x:c>
      <x:c r="T21" s="61" t="n">
        <x:v>0</x:v>
      </x:c>
      <x:c r="U21" s="61" t="n">
        <x:v>5000</x:v>
      </x:c>
      <x:c r="V21" s="61" t="n">
        <x:v>4000</x:v>
      </x:c>
      <x:c r="W21" s="61" t="n">
        <x:v>2000</x:v>
      </x:c>
      <x:c r="X21" s="61" t="n">
        <x:f>'Assumptions'!$B$14</x:f>
        <x:v>10000</x:v>
      </x:c>
      <x:c r="Y21" s="61" t="n">
        <x:f>'Assumptions'!$B$15</x:f>
        <x:v>2500</x:v>
      </x:c>
      <x:c r="Z21" s="61" t="n">
        <x:f>ROUND(SUM(P21:W21)*'Assumptions'!$B$11,0)</x:f>
        <x:v>2240</x:v>
      </x:c>
      <x:c r="AA21" s="61" t="n">
        <x:f>ROUND(N21+SUM(P21:Y21)+Z21,0)</x:f>
        <x:v>89964</x:v>
      </x:c>
      <x:c r="AB21" s="61" t="n">
        <x:f>ROUND(AA21+O21*(1+'Assumptions'!$B$11),0)</x:f>
        <x:v>133164</x:v>
      </x:c>
      <x:c r="AC21" s="16" t="str">
        <x:f>IF(AA21&lt;='Assumptions'!$B$7,"Under target",IF(AA21&lt;='Assumptions'!$B$8,"Within max","Over max"))</x:f>
        <x:v>Under target</x:v>
      </x:c>
      <x:c r="AD21" s="16" t="str">
        <x:f>IF(AB21&lt;='Assumptions'!$B$7,"Under target",IF(AB21&lt;='Assumptions'!$B$8,"Within max","Over max"))</x:f>
        <x:v>Over max</x:v>
      </x:c>
    </x:row>
    <x:row r="22">
      <x:c r="A22" s="16" t="n">
        <x:v>17</x:v>
      </x:c>
      <x:c r="B22" s="16" t="str">
        <x:v>Frost Valley YMCA</x:v>
      </x:c>
      <x:c r="C22" s="16" t="str">
        <x:v>Claryville, New York</x:v>
      </x:c>
      <x:c r="D22" s="16" t="n">
        <x:v>150</x:v>
      </x:c>
      <x:c r="E22" s="16" t="n">
        <x:v>2</x:v>
      </x:c>
      <x:c r="F22" s="16" t="n">
        <x:v>150</x:v>
      </x:c>
      <x:c r="G22" s="16" t="str">
        <x:v>Midpoint venue/lodging package</x:v>
      </x:c>
      <x:c r="H22" s="16" t="str">
        <x:v>Current marketplace; inclusions conflict</x:v>
      </x:c>
      <x:c r="I22" s="16" t="n">
        <x:v>2026</x:v>
      </x:c>
      <x:c r="J22" s="16" t="str">
        <x:v>USD</x:v>
      </x:c>
      <x:c r="K22" s="59" t="n">
        <x:v>31750</x:v>
      </x:c>
      <x:c r="L22" s="59" t="n">
        <x:v>0</x:v>
      </x:c>
      <x:c r="M22" s="60" t="n">
        <x:v>0</x:v>
      </x:c>
      <x:c r="N22" s="61" t="n">
        <x:f>ROUND((K22+L22*D22)*IF(J22="EUR",'Assumptions'!$B$9,1)*POWER(1+'Assumptions'!$B$10,MAX(0,'Assumptions'!$B$6-I22))*(1+M22),0)</x:f>
        <x:v>33338</x:v>
      </x:c>
      <x:c r="O22" s="61" t="n">
        <x:v>0</x:v>
      </x:c>
      <x:c r="P22" s="61" t="n">
        <x:v>5000</x:v>
      </x:c>
      <x:c r="Q22" s="61" t="n">
        <x:v>28000</x:v>
      </x:c>
      <x:c r="R22" s="61" t="n">
        <x:v>5000</x:v>
      </x:c>
      <x:c r="S22" s="61" t="n">
        <x:v>6000</x:v>
      </x:c>
      <x:c r="T22" s="61" t="n">
        <x:v>4000</x:v>
      </x:c>
      <x:c r="U22" s="61" t="n">
        <x:v>5000</x:v>
      </x:c>
      <x:c r="V22" s="61" t="n">
        <x:v>3000</x:v>
      </x:c>
      <x:c r="W22" s="61" t="n">
        <x:v>2000</x:v>
      </x:c>
      <x:c r="X22" s="61" t="n">
        <x:f>'Assumptions'!$B$14</x:f>
        <x:v>10000</x:v>
      </x:c>
      <x:c r="Y22" s="61" t="n">
        <x:f>'Assumptions'!$B$15</x:f>
        <x:v>2500</x:v>
      </x:c>
      <x:c r="Z22" s="61" t="n">
        <x:f>ROUND(SUM(P22:W22)*'Assumptions'!$B$11,0)</x:f>
        <x:v>4640</x:v>
      </x:c>
      <x:c r="AA22" s="61" t="n">
        <x:f>ROUND(N22+SUM(P22:Y22)+Z22,0)</x:f>
        <x:v>108478</x:v>
      </x:c>
      <x:c r="AB22" s="61" t="n">
        <x:f>ROUND(AA22+O22*(1+'Assumptions'!$B$11),0)</x:f>
        <x:v>108478</x:v>
      </x:c>
      <x:c r="AC22" s="16" t="str">
        <x:f>IF(AA22&lt;='Assumptions'!$B$7,"Under target",IF(AA22&lt;='Assumptions'!$B$8,"Within max","Over max"))</x:f>
        <x:v>Within max</x:v>
      </x:c>
      <x:c r="AD22" s="16" t="str">
        <x:f>IF(AB22&lt;='Assumptions'!$B$7,"Under target",IF(AB22&lt;='Assumptions'!$B$8,"Within max","Over max"))</x:f>
        <x:v>Within max</x:v>
      </x:c>
    </x:row>
    <x:row r="23">
      <x:c r="A23" s="16" t="n">
        <x:v>18</x:v>
      </x:c>
      <x:c r="B23" s="16" t="str">
        <x:v>Camp Puh'tok</x:v>
      </x:c>
      <x:c r="C23" s="16" t="str">
        <x:v>Monkton, Maryland</x:v>
      </x:c>
      <x:c r="D23" s="16" t="n">
        <x:v>150</x:v>
      </x:c>
      <x:c r="E23" s="16" t="n">
        <x:v>2</x:v>
      </x:c>
      <x:c r="F23" s="16" t="n">
        <x:v>180</x:v>
      </x:c>
      <x:c r="G23" s="16" t="str">
        <x:v>2027 full-property rental + modeled vendors</x:v>
      </x:c>
      <x:c r="H23" s="16" t="str">
        <x:v>Official 2027 rental</x:v>
      </x:c>
      <x:c r="I23" s="16" t="n">
        <x:v>2027</x:v>
      </x:c>
      <x:c r="J23" s="16" t="str">
        <x:v>USD</x:v>
      </x:c>
      <x:c r="K23" s="59" t="n">
        <x:v>11000</x:v>
      </x:c>
      <x:c r="L23" s="59" t="n">
        <x:v>0</x:v>
      </x:c>
      <x:c r="M23" s="60" t="n">
        <x:v>0</x:v>
      </x:c>
      <x:c r="N23" s="61" t="n">
        <x:f>ROUND((K23+L23*D23)*IF(J23="EUR",'Assumptions'!$B$9,1)*POWER(1+'Assumptions'!$B$10,MAX(0,'Assumptions'!$B$6-I23))*(1+M23),0)</x:f>
        <x:v>11000</x:v>
      </x:c>
      <x:c r="O23" s="61" t="n">
        <x:v>0</x:v>
      </x:c>
      <x:c r="P23" s="61" t="n">
        <x:v>6000</x:v>
      </x:c>
      <x:c r="Q23" s="61" t="n">
        <x:v>30000</x:v>
      </x:c>
      <x:c r="R23" s="61" t="n">
        <x:v>8000</x:v>
      </x:c>
      <x:c r="S23" s="61" t="n">
        <x:v>6000</x:v>
      </x:c>
      <x:c r="T23" s="61" t="n">
        <x:v>5000</x:v>
      </x:c>
      <x:c r="U23" s="61" t="n">
        <x:v>5000</x:v>
      </x:c>
      <x:c r="V23" s="61" t="n">
        <x:v>3000</x:v>
      </x:c>
      <x:c r="W23" s="61" t="n">
        <x:v>3000</x:v>
      </x:c>
      <x:c r="X23" s="61" t="n">
        <x:f>'Assumptions'!$B$14</x:f>
        <x:v>10000</x:v>
      </x:c>
      <x:c r="Y23" s="61" t="n">
        <x:f>'Assumptions'!$B$15</x:f>
        <x:v>2500</x:v>
      </x:c>
      <x:c r="Z23" s="61" t="n">
        <x:f>ROUND(SUM(P23:W23)*'Assumptions'!$B$11,0)</x:f>
        <x:v>5280</x:v>
      </x:c>
      <x:c r="AA23" s="61" t="n">
        <x:f>ROUND(N23+SUM(P23:Y23)+Z23,0)</x:f>
        <x:v>94780</x:v>
      </x:c>
      <x:c r="AB23" s="61" t="n">
        <x:f>ROUND(AA23+O23*(1+'Assumptions'!$B$11),0)</x:f>
        <x:v>94780</x:v>
      </x:c>
      <x:c r="AC23" s="16" t="str">
        <x:f>IF(AA23&lt;='Assumptions'!$B$7,"Under target",IF(AA23&lt;='Assumptions'!$B$8,"Within max","Over max"))</x:f>
        <x:v>Under target</x:v>
      </x:c>
      <x:c r="AD23" s="16" t="str">
        <x:f>IF(AB23&lt;='Assumptions'!$B$7,"Under target",IF(AB23&lt;='Assumptions'!$B$8,"Within max","Over max"))</x:f>
        <x:v>Under target</x:v>
      </x:c>
    </x:row>
    <x:row r="24">
      <x:c r="A24" s="16" t="n">
        <x:v>19</x:v>
      </x:c>
      <x:c r="B24" s="16" t="str">
        <x:v>Orchard &amp; Star</x:v>
      </x:c>
      <x:c r="C24" s="16" t="str">
        <x:v>Catskills, New York</x:v>
      </x:c>
      <x:c r="D24" s="16" t="n">
        <x:v>150</x:v>
      </x:c>
      <x:c r="E24" s="16" t="n">
        <x:v>3</x:v>
      </x:c>
      <x:c r="F24" s="16" t="n">
        <x:v>12</x:v>
      </x:c>
      <x:c r="G24" s="16" t="str">
        <x:v>2027 core with planner + modeled vendors</x:v>
      </x:c>
      <x:c r="H24" s="16" t="str">
        <x:v>Official 2026/27 core pricing</x:v>
      </x:c>
      <x:c r="I24" s="16" t="n">
        <x:v>2027</x:v>
      </x:c>
      <x:c r="J24" s="16" t="str">
        <x:v>USD</x:v>
      </x:c>
      <x:c r="K24" s="59" t="n">
        <x:v>26600</x:v>
      </x:c>
      <x:c r="L24" s="59" t="n">
        <x:v>0</x:v>
      </x:c>
      <x:c r="M24" s="60" t="n">
        <x:v>0</x:v>
      </x:c>
      <x:c r="N24" s="61" t="n">
        <x:f>ROUND((K24+L24*D24)*IF(J24="EUR",'Assumptions'!$B$9,1)*POWER(1+'Assumptions'!$B$10,MAX(0,'Assumptions'!$B$6-I24))*(1+M24),0)</x:f>
        <x:v>26600</x:v>
      </x:c>
      <x:c r="O24" s="61" t="n">
        <x:v>45000</x:v>
      </x:c>
      <x:c r="P24" s="61" t="n">
        <x:v>6000</x:v>
      </x:c>
      <x:c r="Q24" s="61" t="n">
        <x:v>30000</x:v>
      </x:c>
      <x:c r="R24" s="61" t="n">
        <x:v>10000</x:v>
      </x:c>
      <x:c r="S24" s="61" t="n">
        <x:v>6000</x:v>
      </x:c>
      <x:c r="T24" s="61" t="n">
        <x:v>0</x:v>
      </x:c>
      <x:c r="U24" s="61" t="n">
        <x:v>5000</x:v>
      </x:c>
      <x:c r="V24" s="61" t="n">
        <x:v>4000</x:v>
      </x:c>
      <x:c r="W24" s="61" t="n">
        <x:v>3000</x:v>
      </x:c>
      <x:c r="X24" s="61" t="n">
        <x:f>'Assumptions'!$B$14</x:f>
        <x:v>10000</x:v>
      </x:c>
      <x:c r="Y24" s="61" t="n">
        <x:f>'Assumptions'!$B$15</x:f>
        <x:v>2500</x:v>
      </x:c>
      <x:c r="Z24" s="61" t="n">
        <x:f>ROUND(SUM(P24:W24)*'Assumptions'!$B$11,0)</x:f>
        <x:v>5120</x:v>
      </x:c>
      <x:c r="AA24" s="61" t="n">
        <x:f>ROUND(N24+SUM(P24:Y24)+Z24,0)</x:f>
        <x:v>108220</x:v>
      </x:c>
      <x:c r="AB24" s="61" t="n">
        <x:f>ROUND(AA24+O24*(1+'Assumptions'!$B$11),0)</x:f>
        <x:v>156820</x:v>
      </x:c>
      <x:c r="AC24" s="16" t="str">
        <x:f>IF(AA24&lt;='Assumptions'!$B$7,"Under target",IF(AA24&lt;='Assumptions'!$B$8,"Within max","Over max"))</x:f>
        <x:v>Within max</x:v>
      </x:c>
      <x:c r="AD24" s="16" t="str">
        <x:f>IF(AB24&lt;='Assumptions'!$B$7,"Under target",IF(AB24&lt;='Assumptions'!$B$8,"Within max","Over max"))</x:f>
        <x:v>Over max</x:v>
      </x:c>
    </x:row>
    <x:row r="25">
      <x:c r="A25" s="16" t="n">
        <x:v>20</x:v>
      </x:c>
      <x:c r="B25" s="16" t="str">
        <x:v>Craveiral Farmhouse</x:v>
      </x:c>
      <x:c r="C25" s="16" t="str">
        <x:v>Alentejo, Portugal</x:v>
      </x:c>
      <x:c r="D25" s="16" t="n">
        <x:v>100</x:v>
      </x:c>
      <x:c r="E25" s="16" t="n">
        <x:v>2</x:v>
      </x:c>
      <x:c r="F25" s="16" t="n">
        <x:v>126</x:v>
      </x:c>
      <x:c r="G25" s="16" t="str">
        <x:v>€55k start + conservative F&amp;B gap</x:v>
      </x:c>
      <x:c r="H25" s="16" t="str">
        <x:v>Current secondary price; F&amp;B inclusion conflict</x:v>
      </x:c>
      <x:c r="I25" s="16" t="n">
        <x:v>2027</x:v>
      </x:c>
      <x:c r="J25" s="16" t="str">
        <x:v>EUR</x:v>
      </x:c>
      <x:c r="K25" s="59" t="n">
        <x:v>55000</x:v>
      </x:c>
      <x:c r="L25" s="59" t="n">
        <x:v>0</x:v>
      </x:c>
      <x:c r="M25" s="60" t="n">
        <x:v>0</x:v>
      </x:c>
      <x:c r="N25" s="61" t="n">
        <x:f>ROUND((K25+L25*D25)*IF(J25="EUR",'Assumptions'!$B$9,1)*POWER(1+'Assumptions'!$B$10,MAX(0,'Assumptions'!$B$6-I25))*(1+M25),0)</x:f>
        <x:v>63250</x:v>
      </x:c>
      <x:c r="O25" s="61" t="n">
        <x:v>0</x:v>
      </x:c>
      <x:c r="P25" s="61" t="n">
        <x:v>8000</x:v>
      </x:c>
      <x:c r="Q25" s="61" t="n">
        <x:v>20000</x:v>
      </x:c>
      <x:c r="R25" s="61" t="n">
        <x:v>0</x:v>
      </x:c>
      <x:c r="S25" s="61" t="n">
        <x:v>6000</x:v>
      </x:c>
      <x:c r="T25" s="61" t="n">
        <x:v>2000</x:v>
      </x:c>
      <x:c r="U25" s="61" t="n">
        <x:v>4000</x:v>
      </x:c>
      <x:c r="V25" s="61" t="n">
        <x:v>4000</x:v>
      </x:c>
      <x:c r="W25" s="61" t="n">
        <x:v>2000</x:v>
      </x:c>
      <x:c r="X25" s="61" t="n">
        <x:f>'Assumptions'!$B$14</x:f>
        <x:v>10000</x:v>
      </x:c>
      <x:c r="Y25" s="61" t="n">
        <x:f>'Assumptions'!$B$15</x:f>
        <x:v>2500</x:v>
      </x:c>
      <x:c r="Z25" s="61" t="n">
        <x:f>ROUND(SUM(P25:W25)*'Assumptions'!$B$11,0)</x:f>
        <x:v>3680</x:v>
      </x:c>
      <x:c r="AA25" s="61" t="n">
        <x:f>ROUND(N25+SUM(P25:Y25)+Z25,0)</x:f>
        <x:v>125430</x:v>
      </x:c>
      <x:c r="AB25" s="61" t="n">
        <x:f>ROUND(AA25+O25*(1+'Assumptions'!$B$11),0)</x:f>
        <x:v>125430</x:v>
      </x:c>
      <x:c r="AC25" s="16" t="str">
        <x:f>IF(AA25&lt;='Assumptions'!$B$7,"Under target",IF(AA25&lt;='Assumptions'!$B$8,"Within max","Over max"))</x:f>
        <x:v>Over max</x:v>
      </x:c>
      <x:c r="AD25" s="16" t="str">
        <x:f>IF(AB25&lt;='Assumptions'!$B$7,"Under target",IF(AB25&lt;='Assumptions'!$B$8,"Within max","Over max"))</x:f>
        <x:v>Over max</x:v>
      </x:c>
    </x:row>
    <x:row r="26">
      <x:c r="A26" s="16" t="n">
        <x:v>21</x:v>
      </x:c>
      <x:c r="B26" s="16" t="str">
        <x:v>Casa Monte Cristo Collection</x:v>
      </x:c>
      <x:c r="C26" s="16" t="str">
        <x:v>Algarve, Portugal</x:v>
      </x:c>
      <x:c r="D26" s="16" t="n">
        <x:v>100</x:v>
      </x:c>
      <x:c r="E26" s="16" t="n">
        <x:v>4</x:v>
      </x:c>
      <x:c r="F26" s="16" t="n">
        <x:v>78</x:v>
      </x:c>
      <x:c r="G26" s="16" t="str">
        <x:v>Exact 2027 wedding + villa package</x:v>
      </x:c>
      <x:c r="H26" s="16" t="str">
        <x:v>Published 2027 brochure</x:v>
      </x:c>
      <x:c r="I26" s="16" t="n">
        <x:v>2027</x:v>
      </x:c>
      <x:c r="J26" s="16" t="str">
        <x:v>EUR</x:v>
      </x:c>
      <x:c r="K26" s="59" t="n">
        <x:v>67000</x:v>
      </x:c>
      <x:c r="L26" s="59" t="n">
        <x:v>0</x:v>
      </x:c>
      <x:c r="M26" s="60" t="n">
        <x:v>0</x:v>
      </x:c>
      <x:c r="N26" s="61" t="n">
        <x:f>ROUND((K26+L26*D26)*IF(J26="EUR",'Assumptions'!$B$9,1)*POWER(1+'Assumptions'!$B$10,MAX(0,'Assumptions'!$B$6-I26))*(1+M26),0)</x:f>
        <x:v>77050</x:v>
      </x:c>
      <x:c r="O26" s="61" t="n">
        <x:v>8000</x:v>
      </x:c>
      <x:c r="P26" s="61" t="n">
        <x:v>10000</x:v>
      </x:c>
      <x:c r="Q26" s="61" t="n">
        <x:v>0</x:v>
      </x:c>
      <x:c r="R26" s="61" t="n">
        <x:v>0</x:v>
      </x:c>
      <x:c r="S26" s="61" t="n">
        <x:v>6000</x:v>
      </x:c>
      <x:c r="T26" s="61" t="n">
        <x:v>3000</x:v>
      </x:c>
      <x:c r="U26" s="61" t="n">
        <x:v>0</x:v>
      </x:c>
      <x:c r="V26" s="61" t="n">
        <x:v>5000</x:v>
      </x:c>
      <x:c r="W26" s="61" t="n">
        <x:v>2000</x:v>
      </x:c>
      <x:c r="X26" s="61" t="n">
        <x:f>'Assumptions'!$B$14</x:f>
        <x:v>10000</x:v>
      </x:c>
      <x:c r="Y26" s="61" t="n">
        <x:f>'Assumptions'!$B$15</x:f>
        <x:v>2500</x:v>
      </x:c>
      <x:c r="Z26" s="61" t="n">
        <x:f>ROUND(SUM(P26:W26)*'Assumptions'!$B$11,0)</x:f>
        <x:v>2080</x:v>
      </x:c>
      <x:c r="AA26" s="61" t="n">
        <x:f>ROUND(N26+SUM(P26:Y26)+Z26,0)</x:f>
        <x:v>117630</x:v>
      </x:c>
      <x:c r="AB26" s="61" t="n">
        <x:f>ROUND(AA26+O26*(1+'Assumptions'!$B$11),0)</x:f>
        <x:v>126270</x:v>
      </x:c>
      <x:c r="AC26" s="16" t="str">
        <x:f>IF(AA26&lt;='Assumptions'!$B$7,"Under target",IF(AA26&lt;='Assumptions'!$B$8,"Within max","Over max"))</x:f>
        <x:v>Within max</x:v>
      </x:c>
      <x:c r="AD26" s="16" t="str">
        <x:f>IF(AB26&lt;='Assumptions'!$B$7,"Under target",IF(AB26&lt;='Assumptions'!$B$8,"Within max","Over max"))</x:f>
        <x:v>Over max</x:v>
      </x:c>
    </x:row>
    <x:row r="27">
      <x:c r="A27" s="16" t="n">
        <x:v>22</x:v>
      </x:c>
      <x:c r="B27" s="16" t="str">
        <x:v>Tenuta di Rota</x:v>
      </x:c>
      <x:c r="C27" s="16" t="str">
        <x:v>Tuscany, Italy</x:v>
      </x:c>
      <x:c r="D27" s="16" t="n">
        <x:v>100</x:v>
      </x:c>
      <x:c r="E27" s="16" t="n">
        <x:v>3</x:v>
      </x:c>
      <x:c r="F27" s="16" t="n">
        <x:v>70</x:v>
      </x:c>
      <x:c r="G27" s="16" t="str">
        <x:v>Palagio anchor + modeled full-estate gaps</x:v>
      </x:c>
      <x:c r="H27" s="16" t="str">
        <x:v>2026 EUR 14,600 Palagio package; 100 capacity/tent conditional</x:v>
      </x:c>
      <x:c r="I27" s="16" t="n">
        <x:v>2026</x:v>
      </x:c>
      <x:c r="J27" s="16" t="str">
        <x:v>EUR</x:v>
      </x:c>
      <x:c r="K27" s="59" t="n">
        <x:v>14600</x:v>
      </x:c>
      <x:c r="L27" s="59" t="n">
        <x:v>0</x:v>
      </x:c>
      <x:c r="M27" s="60" t="n">
        <x:v>0</x:v>
      </x:c>
      <x:c r="N27" s="61" t="n">
        <x:f>ROUND((K27+L27*D27)*IF(J27="EUR",'Assumptions'!$B$9,1)*POWER(1+'Assumptions'!$B$10,MAX(0,'Assumptions'!$B$6-I27))*(1+M27),0)</x:f>
        <x:v>17630</x:v>
      </x:c>
      <x:c r="O27" s="61" t="n">
        <x:v>10000</x:v>
      </x:c>
      <x:c r="P27" s="61" t="n">
        <x:v>8000</x:v>
      </x:c>
      <x:c r="Q27" s="61" t="n">
        <x:v>28000</x:v>
      </x:c>
      <x:c r="R27" s="61" t="n">
        <x:v>12000</x:v>
      </x:c>
      <x:c r="S27" s="61" t="n">
        <x:v>7000</x:v>
      </x:c>
      <x:c r="T27" s="61" t="n">
        <x:v>3000</x:v>
      </x:c>
      <x:c r="U27" s="61" t="n">
        <x:v>4000</x:v>
      </x:c>
      <x:c r="V27" s="61" t="n">
        <x:v>5000</x:v>
      </x:c>
      <x:c r="W27" s="61" t="n">
        <x:v>2000</x:v>
      </x:c>
      <x:c r="X27" s="61" t="n">
        <x:f>'Assumptions'!$B$14</x:f>
        <x:v>10000</x:v>
      </x:c>
      <x:c r="Y27" s="61" t="n">
        <x:f>'Assumptions'!$B$15</x:f>
        <x:v>2500</x:v>
      </x:c>
      <x:c r="Z27" s="61" t="n">
        <x:f>ROUND(SUM(P27:W27)*'Assumptions'!$B$11,0)</x:f>
        <x:v>5520</x:v>
      </x:c>
      <x:c r="AA27" s="61" t="n">
        <x:f>ROUND(N27+SUM(P27:Y27)+Z27,0)</x:f>
        <x:v>104650</x:v>
      </x:c>
      <x:c r="AB27" s="61" t="n">
        <x:f>ROUND(AA27+O27*(1+'Assumptions'!$B$11),0)</x:f>
        <x:v>115450</x:v>
      </x:c>
      <x:c r="AC27" s="16" t="str">
        <x:f>IF(AA27&lt;='Assumptions'!$B$7,"Under target",IF(AA27&lt;='Assumptions'!$B$8,"Within max","Over max"))</x:f>
        <x:v>Within max</x:v>
      </x:c>
      <x:c r="AD27" s="16" t="str">
        <x:f>IF(AB27&lt;='Assumptions'!$B$7,"Under target",IF(AB27&lt;='Assumptions'!$B$8,"Within max","Over max"))</x:f>
        <x:v>Within max</x:v>
      </x:c>
    </x:row>
    <x:row r="28">
      <x:c r="A28" s="16" t="n">
        <x:v>23</x:v>
      </x:c>
      <x:c r="B28" s="16" t="str">
        <x:v>Villa Lena Puglia</x:v>
      </x:c>
      <x:c r="C28" s="16" t="str">
        <x:v>Oria, Puglia</x:v>
      </x:c>
      <x:c r="D28" s="16" t="n">
        <x:v>100</x:v>
      </x:c>
      <x:c r="E28" s="16" t="n">
        <x:v>3</x:v>
      </x:c>
      <x:c r="F28" s="16" t="n">
        <x:v>18</x:v>
      </x:c>
      <x:c r="G28" s="16" t="str">
        <x:v>June rental reference + modeled vendors</x:v>
      </x:c>
      <x:c r="H28" s="16" t="str">
        <x:v>Published EUR 12,940 reference has unclear duration; low-confidence scenario</x:v>
      </x:c>
      <x:c r="I28" s="16" t="n">
        <x:v>2026</x:v>
      </x:c>
      <x:c r="J28" s="16" t="str">
        <x:v>EUR</x:v>
      </x:c>
      <x:c r="K28" s="59" t="n">
        <x:v>12940</x:v>
      </x:c>
      <x:c r="L28" s="59" t="n">
        <x:v>0</x:v>
      </x:c>
      <x:c r="M28" s="60" t="n">
        <x:v>0</x:v>
      </x:c>
      <x:c r="N28" s="61" t="n">
        <x:f>ROUND((K28+L28*D28)*IF(J28="EUR",'Assumptions'!$B$9,1)*POWER(1+'Assumptions'!$B$10,MAX(0,'Assumptions'!$B$6-I28))*(1+M28),0)</x:f>
        <x:v>15625</x:v>
      </x:c>
      <x:c r="O28" s="61" t="n">
        <x:v>22000</x:v>
      </x:c>
      <x:c r="P28" s="61" t="n">
        <x:v>9000</x:v>
      </x:c>
      <x:c r="Q28" s="61" t="n">
        <x:v>30000</x:v>
      </x:c>
      <x:c r="R28" s="61" t="n">
        <x:v>10000</x:v>
      </x:c>
      <x:c r="S28" s="61" t="n">
        <x:v>7000</x:v>
      </x:c>
      <x:c r="T28" s="61" t="n">
        <x:v>0</x:v>
      </x:c>
      <x:c r="U28" s="61" t="n">
        <x:v>4000</x:v>
      </x:c>
      <x:c r="V28" s="61" t="n">
        <x:v>6000</x:v>
      </x:c>
      <x:c r="W28" s="61" t="n">
        <x:v>2000</x:v>
      </x:c>
      <x:c r="X28" s="61" t="n">
        <x:f>'Assumptions'!$B$14</x:f>
        <x:v>10000</x:v>
      </x:c>
      <x:c r="Y28" s="61" t="n">
        <x:f>'Assumptions'!$B$15</x:f>
        <x:v>2500</x:v>
      </x:c>
      <x:c r="Z28" s="61" t="n">
        <x:f>ROUND(SUM(P28:W28)*'Assumptions'!$B$11,0)</x:f>
        <x:v>5440</x:v>
      </x:c>
      <x:c r="AA28" s="61" t="n">
        <x:f>ROUND(N28+SUM(P28:Y28)+Z28,0)</x:f>
        <x:v>101565</x:v>
      </x:c>
      <x:c r="AB28" s="61" t="n">
        <x:f>ROUND(AA28+O28*(1+'Assumptions'!$B$11),0)</x:f>
        <x:v>125325</x:v>
      </x:c>
      <x:c r="AC28" s="16" t="str">
        <x:f>IF(AA28&lt;='Assumptions'!$B$7,"Under target",IF(AA28&lt;='Assumptions'!$B$8,"Within max","Over max"))</x:f>
        <x:v>Within max</x:v>
      </x:c>
      <x:c r="AD28" s="16" t="str">
        <x:f>IF(AB28&lt;='Assumptions'!$B$7,"Under target",IF(AB28&lt;='Assumptions'!$B$8,"Within max","Over max"))</x:f>
        <x:v>Over max</x:v>
      </x:c>
    </x:row>
    <x:row r="29">
      <x:c r="A29" s="16" t="n">
        <x:v>24</x:v>
      </x:c>
      <x:c r="B29" s="16" t="str">
        <x:v>Masseria Le Carrube</x:v>
      </x:c>
      <x:c r="C29" s="16" t="str">
        <x:v>Ostuni, Puglia</x:v>
      </x:c>
      <x:c r="D29" s="16" t="n">
        <x:v>100</x:v>
      </x:c>
      <x:c r="E29" s="16" t="n">
        <x:v>2</x:v>
      </x:c>
      <x:c r="F29" s="16" t="n">
        <x:v>38</x:v>
      </x:c>
      <x:c r="G29" s="16" t="str">
        <x:v>Conservative buyout/F&amp;B quote allowance</x:v>
      </x:c>
      <x:c r="H29" s="16" t="str">
        <x:v>Wedding price unpublished; planning allowance, not a vendor quote</x:v>
      </x:c>
      <x:c r="I29" s="16" t="n">
        <x:v>2027</x:v>
      </x:c>
      <x:c r="J29" s="16" t="str">
        <x:v>EUR</x:v>
      </x:c>
      <x:c r="K29" s="59" t="n">
        <x:v>30000</x:v>
      </x:c>
      <x:c r="L29" s="59" t="n">
        <x:v>150</x:v>
      </x:c>
      <x:c r="M29" s="60" t="n">
        <x:v>0</x:v>
      </x:c>
      <x:c r="N29" s="61" t="n">
        <x:f>ROUND((K29+L29*D29)*IF(J29="EUR",'Assumptions'!$B$9,1)*POWER(1+'Assumptions'!$B$10,MAX(0,'Assumptions'!$B$6-I29))*(1+M29),0)</x:f>
        <x:v>51750</x:v>
      </x:c>
      <x:c r="O29" s="61" t="n">
        <x:v>16000</x:v>
      </x:c>
      <x:c r="P29" s="61" t="n">
        <x:v>7000</x:v>
      </x:c>
      <x:c r="Q29" s="61" t="n">
        <x:v>3000</x:v>
      </x:c>
      <x:c r="R29" s="61" t="n">
        <x:v>10000</x:v>
      </x:c>
      <x:c r="S29" s="61" t="n">
        <x:v>7000</x:v>
      </x:c>
      <x:c r="T29" s="61" t="n">
        <x:v>4000</x:v>
      </x:c>
      <x:c r="U29" s="61" t="n">
        <x:v>4000</x:v>
      </x:c>
      <x:c r="V29" s="61" t="n">
        <x:v>6000</x:v>
      </x:c>
      <x:c r="W29" s="61" t="n">
        <x:v>2000</x:v>
      </x:c>
      <x:c r="X29" s="61" t="n">
        <x:f>'Assumptions'!$B$14</x:f>
        <x:v>10000</x:v>
      </x:c>
      <x:c r="Y29" s="61" t="n">
        <x:f>'Assumptions'!$B$15</x:f>
        <x:v>2500</x:v>
      </x:c>
      <x:c r="Z29" s="61" t="n">
        <x:f>ROUND(SUM(P29:W29)*'Assumptions'!$B$11,0)</x:f>
        <x:v>3440</x:v>
      </x:c>
      <x:c r="AA29" s="61" t="n">
        <x:f>ROUND(N29+SUM(P29:Y29)+Z29,0)</x:f>
        <x:v>110690</x:v>
      </x:c>
      <x:c r="AB29" s="61" t="n">
        <x:f>ROUND(AA29+O29*(1+'Assumptions'!$B$11),0)</x:f>
        <x:v>127970</x:v>
      </x:c>
      <x:c r="AC29" s="16" t="str">
        <x:f>IF(AA29&lt;='Assumptions'!$B$7,"Under target",IF(AA29&lt;='Assumptions'!$B$8,"Within max","Over max"))</x:f>
        <x:v>Within max</x:v>
      </x:c>
      <x:c r="AD29" s="16" t="str">
        <x:f>IF(AB29&lt;='Assumptions'!$B$7,"Under target",IF(AB29&lt;='Assumptions'!$B$8,"Within max","Over max"))</x:f>
        <x:v>Over max</x:v>
      </x:c>
    </x:row>
    <x:row r="30">
      <x:c r="A30" s="16" t="n">
        <x:v>25</x:v>
      </x:c>
      <x:c r="B30" s="16" t="str">
        <x:v>Chateau Les Crostes</x:v>
      </x:c>
      <x:c r="C30" s="16" t="str">
        <x:v>Lorgues, Provence</x:v>
      </x:c>
      <x:c r="D30" s="16" t="n">
        <x:v>100</x:v>
      </x:c>
      <x:c r="E30" s="16" t="n">
        <x:v>3</x:v>
      </x:c>
      <x:c r="F30" s="16" t="n">
        <x:v>28</x:v>
      </x:c>
      <x:c r="G30" s="16" t="str">
        <x:v>High dry-hire reference + modeled vendors</x:v>
      </x:c>
      <x:c r="H30" s="16" t="str">
        <x:v>Current EUR 23,760 high reference; tent/F&amp;B/vendor gaps modeled</x:v>
      </x:c>
      <x:c r="I30" s="16" t="n">
        <x:v>2026</x:v>
      </x:c>
      <x:c r="J30" s="16" t="str">
        <x:v>EUR</x:v>
      </x:c>
      <x:c r="K30" s="59" t="n">
        <x:v>23760</x:v>
      </x:c>
      <x:c r="L30" s="59" t="n">
        <x:v>0</x:v>
      </x:c>
      <x:c r="M30" s="60" t="n">
        <x:v>0</x:v>
      </x:c>
      <x:c r="N30" s="61" t="n">
        <x:f>ROUND((K30+L30*D30)*IF(J30="EUR",'Assumptions'!$B$9,1)*POWER(1+'Assumptions'!$B$10,MAX(0,'Assumptions'!$B$6-I30))*(1+M30),0)</x:f>
        <x:v>28690</x:v>
      </x:c>
      <x:c r="O30" s="61" t="n">
        <x:v>18000</x:v>
      </x:c>
      <x:c r="P30" s="61" t="n">
        <x:v>9000</x:v>
      </x:c>
      <x:c r="Q30" s="61" t="n">
        <x:v>30000</x:v>
      </x:c>
      <x:c r="R30" s="61" t="n">
        <x:v>15000</x:v>
      </x:c>
      <x:c r="S30" s="61" t="n">
        <x:v>7000</x:v>
      </x:c>
      <x:c r="T30" s="61" t="n">
        <x:v>7000</x:v>
      </x:c>
      <x:c r="U30" s="61" t="n">
        <x:v>4000</x:v>
      </x:c>
      <x:c r="V30" s="61" t="n">
        <x:v>6000</x:v>
      </x:c>
      <x:c r="W30" s="61" t="n">
        <x:v>2000</x:v>
      </x:c>
      <x:c r="X30" s="61" t="n">
        <x:f>'Assumptions'!$B$14</x:f>
        <x:v>10000</x:v>
      </x:c>
      <x:c r="Y30" s="61" t="n">
        <x:f>'Assumptions'!$B$15</x:f>
        <x:v>2500</x:v>
      </x:c>
      <x:c r="Z30" s="61" t="n">
        <x:f>ROUND(SUM(P30:W30)*'Assumptions'!$B$11,0)</x:f>
        <x:v>6400</x:v>
      </x:c>
      <x:c r="AA30" s="61" t="n">
        <x:f>ROUND(N30+SUM(P30:Y30)+Z30,0)</x:f>
        <x:v>127590</x:v>
      </x:c>
      <x:c r="AB30" s="61" t="n">
        <x:f>ROUND(AA30+O30*(1+'Assumptions'!$B$11),0)</x:f>
        <x:v>147030</x:v>
      </x:c>
      <x:c r="AC30" s="16" t="str">
        <x:f>IF(AA30&lt;='Assumptions'!$B$7,"Under target",IF(AA30&lt;='Assumptions'!$B$8,"Within max","Over max"))</x:f>
        <x:v>Over max</x:v>
      </x:c>
      <x:c r="AD30" s="16" t="str">
        <x:f>IF(AB30&lt;='Assumptions'!$B$7,"Under target",IF(AB30&lt;='Assumptions'!$B$8,"Within max","Over max"))</x:f>
        <x:v>Over max</x:v>
      </x:c>
    </x:row>
    <x:row r="31">
      <x:c r="A31" s="16" t="n">
        <x:v>22</x:v>
      </x:c>
      <x:c r="B31" s="16" t="str">
        <x:v>Castello di Petrata</x:v>
      </x:c>
      <x:c r="C31" s="16" t="str">
        <x:v>Umbria, Italy</x:v>
      </x:c>
      <x:c r="D31" s="16" t="n">
        <x:v>100</x:v>
      </x:c>
      <x:c r="E31" s="16" t="n">
        <x:v>2</x:v>
      </x:c>
      <x:c r="F31" s="16" t="n">
        <x:v>100</x:v>
      </x:c>
      <x:c r="G31" s="16" t="str">
        <x:v>High-season weekend 2027</x:v>
      </x:c>
      <x:c r="H31" s="16" t="str">
        <x:v>Official 2027 package</x:v>
      </x:c>
      <x:c r="I31" s="16" t="n">
        <x:v>2027</x:v>
      </x:c>
      <x:c r="J31" s="16" t="str">
        <x:v>EUR</x:v>
      </x:c>
      <x:c r="K31" s="59" t="n">
        <x:v>71500</x:v>
      </x:c>
      <x:c r="L31" s="59" t="n">
        <x:v>0</x:v>
      </x:c>
      <x:c r="M31" s="60" t="n">
        <x:v>0</x:v>
      </x:c>
      <x:c r="N31" s="61" t="n">
        <x:f>ROUND((K31+L31*D31)*IF(J31="EUR",'Assumptions'!$B$9,1)*POWER(1+'Assumptions'!$B$10,MAX(0,'Assumptions'!$B$6-I31))*(1+M31),0)</x:f>
        <x:v>82225</x:v>
      </x:c>
      <x:c r="O31" s="61" t="n">
        <x:v>0</x:v>
      </x:c>
      <x:c r="P31" s="61" t="n">
        <x:v>2500</x:v>
      </x:c>
      <x:c r="Q31" s="61" t="n">
        <x:v>1500</x:v>
      </x:c>
      <x:c r="R31" s="61" t="n">
        <x:v>0</x:v>
      </x:c>
      <x:c r="S31" s="61" t="n">
        <x:v>5000</x:v>
      </x:c>
      <x:c r="T31" s="61" t="n">
        <x:v>2500</x:v>
      </x:c>
      <x:c r="U31" s="61" t="n">
        <x:v>3500</x:v>
      </x:c>
      <x:c r="V31" s="61" t="n">
        <x:v>5000</x:v>
      </x:c>
      <x:c r="W31" s="61" t="n">
        <x:v>1500</x:v>
      </x:c>
      <x:c r="X31" s="61" t="n">
        <x:f>'Assumptions'!$B$14</x:f>
        <x:v>10000</x:v>
      </x:c>
      <x:c r="Y31" s="61" t="n">
        <x:f>'Assumptions'!$B$15</x:f>
        <x:v>2500</x:v>
      </x:c>
      <x:c r="Z31" s="61" t="n">
        <x:f>ROUND(SUM(P31:W31)*'Assumptions'!$B$11,0)</x:f>
        <x:v>1720</x:v>
      </x:c>
      <x:c r="AA31" s="61" t="n">
        <x:f>ROUND(N31+SUM(P31:Y31)+Z31,0)</x:f>
        <x:v>117945</x:v>
      </x:c>
      <x:c r="AB31" s="61" t="n">
        <x:f>ROUND(AA31+O31*(1+'Assumptions'!$B$11),0)</x:f>
        <x:v>117945</x:v>
      </x:c>
      <x:c r="AC31" s="16" t="str">
        <x:f>IF(AA31&lt;='Assumptions'!$B$7,"Under target",IF(AA31&lt;='Assumptions'!$B$8,"Within max","Over max"))</x:f>
        <x:v>Within max</x:v>
      </x:c>
      <x:c r="AD31" s="16" t="str">
        <x:f>IF(AB31&lt;='Assumptions'!$B$7,"Under target",IF(AB31&lt;='Assumptions'!$B$8,"Within max","Over max"))</x:f>
        <x:v>Within max</x:v>
      </x:c>
    </x:row>
    <x:row r="32">
      <x:c r="A32" s="16" t="n">
        <x:v>26</x:v>
      </x:c>
      <x:c r="B32" s="16" t="str">
        <x:v>Castello di Ristonchi</x:v>
      </x:c>
      <x:c r="C32" s="16" t="str">
        <x:v>Tuscany, Italy</x:v>
      </x:c>
      <x:c r="D32" s="16" t="n">
        <x:v>100</x:v>
      </x:c>
      <x:c r="E32" s="16" t="n">
        <x:v>3</x:v>
      </x:c>
      <x:c r="F32" s="16" t="n">
        <x:v>100</x:v>
      </x:c>
      <x:c r="G32" s="16" t="str">
        <x:v>User working quote - Sept 17-20, 2027</x:v>
      </x:c>
      <x:c r="H32" s="16" t="str">
        <x:v>User-supplied ~$108k estimate; must reconcile against official Premium pricing</x:v>
      </x:c>
      <x:c r="I32" s="16" t="n">
        <x:v>2027</x:v>
      </x:c>
      <x:c r="J32" s="16" t="str">
        <x:v>USD</x:v>
      </x:c>
      <x:c r="K32" s="59" t="n">
        <x:v>108000</x:v>
      </x:c>
      <x:c r="L32" s="59" t="n">
        <x:v>0</x:v>
      </x:c>
      <x:c r="M32" s="60" t="n">
        <x:v>0</x:v>
      </x:c>
      <x:c r="N32" s="61" t="n">
        <x:f>ROUND((K32+L32*D32)*IF(J32="EUR",'Assumptions'!$B$9,1)*POWER(1+'Assumptions'!$B$10,MAX(0,'Assumptions'!$B$6-I32))*(1+M32),0)</x:f>
        <x:v>108000</x:v>
      </x:c>
      <x:c r="O32" s="61" t="n">
        <x:v>0</x:v>
      </x:c>
      <x:c r="P32" s="61" t="n">
        <x:v>0</x:v>
      </x:c>
      <x:c r="Q32" s="61" t="n">
        <x:v>0</x:v>
      </x:c>
      <x:c r="R32" s="61" t="n">
        <x:v>0</x:v>
      </x:c>
      <x:c r="S32" s="61" t="n">
        <x:v>0</x:v>
      </x:c>
      <x:c r="T32" s="61" t="n">
        <x:v>0</x:v>
      </x:c>
      <x:c r="U32" s="61" t="n">
        <x:v>0</x:v>
      </x:c>
      <x:c r="V32" s="61" t="n">
        <x:v>0</x:v>
      </x:c>
      <x:c r="W32" s="61" t="n">
        <x:v>0</x:v>
      </x:c>
      <x:c r="X32" s="61" t="n">
        <x:f>'Assumptions'!$B$14</x:f>
        <x:v>10000</x:v>
      </x:c>
      <x:c r="Y32" s="61" t="n">
        <x:f>'Assumptions'!$B$15</x:f>
        <x:v>2500</x:v>
      </x:c>
      <x:c r="Z32" s="61" t="n">
        <x:f>ROUND(SUM(P32:W32)*'Assumptions'!$B$11,0)</x:f>
        <x:v>0</x:v>
      </x:c>
      <x:c r="AA32" s="61" t="n">
        <x:f>ROUND(N32+SUM(P32:Y32)+Z32,0)</x:f>
        <x:v>120500</x:v>
      </x:c>
      <x:c r="AB32" s="61" t="n">
        <x:f>ROUND(AA32+O32*(1+'Assumptions'!$B$11),0)</x:f>
        <x:v>120500</x:v>
      </x:c>
      <x:c r="AC32" s="16" t="str">
        <x:f>IF(AA32&lt;='Assumptions'!$B$7,"Under target",IF(AA32&lt;='Assumptions'!$B$8,"Within max","Over max"))</x:f>
        <x:v>Over max</x:v>
      </x:c>
      <x:c r="AD32" s="16" t="str">
        <x:f>IF(AB32&lt;='Assumptions'!$B$7,"Under target",IF(AB32&lt;='Assumptions'!$B$8,"Within max","Over max"))</x:f>
        <x:v>Over max</x:v>
      </x:c>
    </x:row>
    <x:row r="33">
      <x:c r="A33" s="16" t="n">
        <x:v>23</x:v>
      </x:c>
      <x:c r="B33" s="16" t="str">
        <x:v>Castello di Ristonchi</x:v>
      </x:c>
      <x:c r="C33" s="16" t="str">
        <x:v>Tuscany, Italy</x:v>
      </x:c>
      <x:c r="D33" s="16" t="n">
        <x:v>80</x:v>
      </x:c>
      <x:c r="E33" s="16" t="n">
        <x:v>3</x:v>
      </x:c>
      <x:c r="F33" s="16" t="n">
        <x:v>80</x:v>
      </x:c>
      <x:c r="G33" s="16" t="str">
        <x:v>Classic 2027 (80 guests)</x:v>
      </x:c>
      <x:c r="H33" s="16" t="str">
        <x:v>Official 2027 package; not apples-to-apples for 100</x:v>
      </x:c>
      <x:c r="I33" s="16" t="n">
        <x:v>2027</x:v>
      </x:c>
      <x:c r="J33" s="16" t="str">
        <x:v>EUR</x:v>
      </x:c>
      <x:c r="K33" s="59" t="n">
        <x:v>88500</x:v>
      </x:c>
      <x:c r="L33" s="59" t="n">
        <x:v>0</x:v>
      </x:c>
      <x:c r="M33" s="60" t="n">
        <x:v>0</x:v>
      </x:c>
      <x:c r="N33" s="61" t="n">
        <x:f>ROUND((K33+L33*D33)*IF(J33="EUR",'Assumptions'!$B$9,1)*POWER(1+'Assumptions'!$B$10,MAX(0,'Assumptions'!$B$6-I33))*(1+M33),0)</x:f>
        <x:v>101775</x:v>
      </x:c>
      <x:c r="O33" s="61" t="n">
        <x:v>0</x:v>
      </x:c>
      <x:c r="P33" s="61" t="n">
        <x:v>0</x:v>
      </x:c>
      <x:c r="Q33" s="61" t="n">
        <x:v>0</x:v>
      </x:c>
      <x:c r="R33" s="61" t="n">
        <x:v>0</x:v>
      </x:c>
      <x:c r="S33" s="61" t="n">
        <x:v>3000</x:v>
      </x:c>
      <x:c r="T33" s="61" t="n">
        <x:v>2500</x:v>
      </x:c>
      <x:c r="U33" s="61" t="n">
        <x:v>0</x:v>
      </x:c>
      <x:c r="V33" s="61" t="n">
        <x:v>6000</x:v>
      </x:c>
      <x:c r="W33" s="61" t="n">
        <x:v>1500</x:v>
      </x:c>
      <x:c r="X33" s="61" t="n">
        <x:f>'Assumptions'!$B$14</x:f>
        <x:v>10000</x:v>
      </x:c>
      <x:c r="Y33" s="61" t="n">
        <x:f>'Assumptions'!$B$15</x:f>
        <x:v>2500</x:v>
      </x:c>
      <x:c r="Z33" s="61" t="n">
        <x:f>ROUND(SUM(P33:W33)*'Assumptions'!$B$11,0)</x:f>
        <x:v>1040</x:v>
      </x:c>
      <x:c r="AA33" s="61" t="n">
        <x:f>ROUND(N33+SUM(P33:Y33)+Z33,0)</x:f>
        <x:v>128315</x:v>
      </x:c>
      <x:c r="AB33" s="61" t="n">
        <x:f>ROUND(AA33+O33*(1+'Assumptions'!$B$11),0)</x:f>
        <x:v>128315</x:v>
      </x:c>
      <x:c r="AC33" s="16" t="str">
        <x:f>IF(AA33&lt;='Assumptions'!$B$7,"Under target",IF(AA33&lt;='Assumptions'!$B$8,"Within max","Over max"))</x:f>
        <x:v>Over max</x:v>
      </x:c>
      <x:c r="AD33" s="16" t="str">
        <x:f>IF(AB33&lt;='Assumptions'!$B$7,"Under target",IF(AB33&lt;='Assumptions'!$B$8,"Within max","Over max"))</x:f>
        <x:v>Over max</x:v>
      </x:c>
    </x:row>
    <x:row r="34">
      <x:c r="A34" s="16" t="n">
        <x:v>24</x:v>
      </x:c>
      <x:c r="B34" s="16" t="str">
        <x:v>Castello di Ristonchi</x:v>
      </x:c>
      <x:c r="C34" s="16" t="str">
        <x:v>Tuscany, Italy</x:v>
      </x:c>
      <x:c r="D34" s="16" t="n">
        <x:v>100</x:v>
      </x:c>
      <x:c r="E34" s="16" t="n">
        <x:v>3</x:v>
      </x:c>
      <x:c r="F34" s="16" t="n">
        <x:v>100</x:v>
      </x:c>
      <x:c r="G34" s="16" t="str">
        <x:v>Premium 2027</x:v>
      </x:c>
      <x:c r="H34" s="16" t="str">
        <x:v>Official 2027 package</x:v>
      </x:c>
      <x:c r="I34" s="16" t="n">
        <x:v>2027</x:v>
      </x:c>
      <x:c r="J34" s="16" t="str">
        <x:v>EUR</x:v>
      </x:c>
      <x:c r="K34" s="59" t="n">
        <x:v>185500</x:v>
      </x:c>
      <x:c r="L34" s="59" t="n">
        <x:v>0</x:v>
      </x:c>
      <x:c r="M34" s="60" t="n">
        <x:v>0</x:v>
      </x:c>
      <x:c r="N34" s="61" t="n">
        <x:f>ROUND((K34+L34*D34)*IF(J34="EUR",'Assumptions'!$B$9,1)*POWER(1+'Assumptions'!$B$10,MAX(0,'Assumptions'!$B$6-I34))*(1+M34),0)</x:f>
        <x:v>213325</x:v>
      </x:c>
      <x:c r="O34" s="61" t="n">
        <x:v>0</x:v>
      </x:c>
      <x:c r="P34" s="61" t="n">
        <x:v>0</x:v>
      </x:c>
      <x:c r="Q34" s="61" t="n">
        <x:v>0</x:v>
      </x:c>
      <x:c r="R34" s="61" t="n">
        <x:v>0</x:v>
      </x:c>
      <x:c r="S34" s="61" t="n">
        <x:v>0</x:v>
      </x:c>
      <x:c r="T34" s="61" t="n">
        <x:v>0</x:v>
      </x:c>
      <x:c r="U34" s="61" t="n">
        <x:v>0</x:v>
      </x:c>
      <x:c r="V34" s="61" t="n">
        <x:v>0</x:v>
      </x:c>
      <x:c r="W34" s="61" t="n">
        <x:v>1500</x:v>
      </x:c>
      <x:c r="X34" s="61" t="n">
        <x:f>'Assumptions'!$B$14</x:f>
        <x:v>10000</x:v>
      </x:c>
      <x:c r="Y34" s="61" t="n">
        <x:f>'Assumptions'!$B$15</x:f>
        <x:v>2500</x:v>
      </x:c>
      <x:c r="Z34" s="61" t="n">
        <x:f>ROUND(SUM(P34:W34)*'Assumptions'!$B$11,0)</x:f>
        <x:v>120</x:v>
      </x:c>
      <x:c r="AA34" s="61" t="n">
        <x:f>ROUND(N34+SUM(P34:Y34)+Z34,0)</x:f>
        <x:v>227445</x:v>
      </x:c>
      <x:c r="AB34" s="61" t="n">
        <x:f>ROUND(AA34+O34*(1+'Assumptions'!$B$11),0)</x:f>
        <x:v>227445</x:v>
      </x:c>
      <x:c r="AC34" s="16" t="str">
        <x:f>IF(AA34&lt;='Assumptions'!$B$7,"Under target",IF(AA34&lt;='Assumptions'!$B$8,"Within max","Over max"))</x:f>
        <x:v>Over max</x:v>
      </x:c>
      <x:c r="AD34" s="16" t="str">
        <x:f>IF(AB34&lt;='Assumptions'!$B$7,"Under target",IF(AB34&lt;='Assumptions'!$B$8,"Within max","Over max"))</x:f>
        <x:v>Over max</x:v>
      </x:c>
    </x:row>
  </x:sheetData>
  <x:mergeCells>
    <x:mergeCell ref="A1:AD2"/>
    <x:mergeCell ref="A3:AD3"/>
  </x:mergeCells>
  <x:conditionalFormatting sqref="AC5:AD34">
    <x:cfRule type="containsText" dxfId="2" priority="1" operator="containsText" text="Under target"/>
    <x:cfRule type="containsText" dxfId="3" priority="2" operator="containsText" text="Within max"/>
    <x:cfRule type="containsText" dxfId="4" priority="3" operator="containsText" text="Over max"/>
  </x:conditionalFormatting>
  <x:conditionalFormatting sqref="A5:AD34">
    <x:cfRule type="expression" dxfId="5" priority="4">
      <x:formula>MOD(ROW(),2)=0</x:formula>
    </x:cfRule>
  </x:conditionalFormatting>
  <x:pageMargins left="0.7" right="0.7" top="0.75" bottom="0.75" header="0.3" footer="0.3"/>
  <x:tableParts count="1">
    <x:tablePart xmlns:r="http://schemas.openxmlformats.org/officeDocument/2006/relationships" r:id="R2f05a57f17b04da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22" hidden="0" customWidth="1"/>
    <x:col min="4" max="4" width="15" hidden="0" customWidth="1"/>
    <x:col min="5" max="5" width="28" hidden="0" customWidth="1"/>
    <x:col min="6" max="6" width="11" hidden="0" customWidth="1"/>
    <x:col min="7" max="7" width="22" hidden="0" customWidth="1"/>
    <x:col min="8" max="8" width="22" hidden="0" customWidth="1"/>
    <x:col min="9" max="9" width="18" hidden="0" customWidth="1"/>
    <x:col min="10" max="10" width="28" hidden="0" customWidth="1"/>
    <x:col min="11" max="11" width="13" hidden="0" customWidth="1"/>
    <x:col min="12" max="12" width="13" hidden="0" customWidth="1"/>
    <x:col min="13" max="13" width="13" hidden="0" customWidth="1"/>
    <x:col min="14" max="14" width="16" hidden="0" customWidth="1"/>
    <x:col min="15" max="15" width="17" hidden="0" customWidth="1"/>
    <x:col min="16" max="16" width="16" hidden="0" customWidth="1"/>
    <x:col min="17" max="17" width="46" hidden="0" customWidth="1"/>
    <x:col min="18" max="18" width="70" hidden="0" customWidth="1"/>
  </x:cols>
  <x:sheetData>
    <x:row r="1" ht="34" customHeight="1">
      <x:c r="A1" s="3" t="str">
        <x:v>All researched venues</x:v>
      </x:c>
      <x:c r="B1" s="3" t="str">
        <x:v>All researched venues</x:v>
      </x:c>
      <x:c r="C1" s="3" t="str">
        <x:v>All researched venues</x:v>
      </x:c>
      <x:c r="D1" s="3" t="str">
        <x:v>All researched venues</x:v>
      </x:c>
      <x:c r="E1" s="3" t="str">
        <x:v>All researched venues</x:v>
      </x:c>
      <x:c r="F1" s="3" t="str">
        <x:v>All researched venues</x:v>
      </x:c>
      <x:c r="G1" s="3" t="str">
        <x:v>All researched venues</x:v>
      </x:c>
      <x:c r="H1" s="3" t="str">
        <x:v>All researched venues</x:v>
      </x:c>
      <x:c r="I1" s="3" t="str">
        <x:v>All researched venues</x:v>
      </x:c>
      <x:c r="J1" s="3" t="str">
        <x:v>All researched venues</x:v>
      </x:c>
      <x:c r="K1" s="3" t="str">
        <x:v>All researched venues</x:v>
      </x:c>
      <x:c r="L1" s="3" t="str">
        <x:v>All researched venues</x:v>
      </x:c>
      <x:c r="M1" s="3" t="str">
        <x:v>All researched venues</x:v>
      </x:c>
      <x:c r="N1" s="3" t="str">
        <x:v>All researched venues</x:v>
      </x:c>
      <x:c r="O1" s="3" t="str">
        <x:v>All researched venues</x:v>
      </x:c>
      <x:c r="P1" s="3" t="str">
        <x:v>All researched venues</x:v>
      </x:c>
      <x:c r="Q1" s="3" t="str">
        <x:v>All researched venues</x:v>
      </x:c>
      <x:c r="R1" s="3" t="str">
        <x:v>All researched venues</x:v>
      </x:c>
    </x:row>
    <x:row r="2" ht="34" customHeight="1">
      <x:c r="A2" s="3" t="str">
        <x:v>All researched venues</x:v>
      </x:c>
      <x:c r="B2" s="3" t="str">
        <x:v>All researched venues</x:v>
      </x:c>
      <x:c r="C2" s="3" t="str">
        <x:v>All researched venues</x:v>
      </x:c>
      <x:c r="D2" s="3" t="str">
        <x:v>All researched venues</x:v>
      </x:c>
      <x:c r="E2" s="3" t="str">
        <x:v>All researched venues</x:v>
      </x:c>
      <x:c r="F2" s="3" t="str">
        <x:v>All researched venues</x:v>
      </x:c>
      <x:c r="G2" s="3" t="str">
        <x:v>All researched venues</x:v>
      </x:c>
      <x:c r="H2" s="3" t="str">
        <x:v>All researched venues</x:v>
      </x:c>
      <x:c r="I2" s="3" t="str">
        <x:v>All researched venues</x:v>
      </x:c>
      <x:c r="J2" s="3" t="str">
        <x:v>All researched venues</x:v>
      </x:c>
      <x:c r="K2" s="3" t="str">
        <x:v>All researched venues</x:v>
      </x:c>
      <x:c r="L2" s="3" t="str">
        <x:v>All researched venues</x:v>
      </x:c>
      <x:c r="M2" s="3" t="str">
        <x:v>All researched venues</x:v>
      </x:c>
      <x:c r="N2" s="3" t="str">
        <x:v>All researched venues</x:v>
      </x:c>
      <x:c r="O2" s="3" t="str">
        <x:v>All researched venues</x:v>
      </x:c>
      <x:c r="P2" s="3" t="str">
        <x:v>All researched venues</x:v>
      </x:c>
      <x:c r="Q2" s="3" t="str">
        <x:v>All researched venues</x:v>
      </x:c>
      <x:c r="R2" s="3" t="str">
        <x:v>All researched venues</x:v>
      </x:c>
    </x:row>
    <x:row r="3" ht="30" customHeight="1">
      <x:c r="A3" s="7" t="str">
        <x:v>Every venue supplied by the couple is retained even when unsuitable. Budget band uses the couple-funded Host-all-beds estimate; ranges remain screening estimates, not vendor quotes.</x:v>
      </x:c>
      <x:c r="B3" s="7" t="str">
        <x:v>Every venue supplied by the couple is retained even when unsuitable. Budget band uses the couple-funded Host-all-beds estimate; ranges remain screening estimates, not vendor quotes.</x:v>
      </x:c>
      <x:c r="C3" s="7" t="str">
        <x:v>Every venue supplied by the couple is retained even when unsuitable. Budget band uses the couple-funded Host-all-beds estimate; ranges remain screening estimates, not vendor quotes.</x:v>
      </x:c>
      <x:c r="D3" s="7" t="str">
        <x:v>Every venue supplied by the couple is retained even when unsuitable. Budget band uses the couple-funded Host-all-beds estimate; ranges remain screening estimates, not vendor quotes.</x:v>
      </x:c>
      <x:c r="E3" s="7" t="str">
        <x:v>Every venue supplied by the couple is retained even when unsuitable. Budget band uses the couple-funded Host-all-beds estimate; ranges remain screening estimates, not vendor quotes.</x:v>
      </x:c>
      <x:c r="F3" s="7" t="str">
        <x:v>Every venue supplied by the couple is retained even when unsuitable. Budget band uses the couple-funded Host-all-beds estimate; ranges remain screening estimates, not vendor quotes.</x:v>
      </x:c>
      <x:c r="G3" s="7" t="str">
        <x:v>Every venue supplied by the couple is retained even when unsuitable. Budget band uses the couple-funded Host-all-beds estimate; ranges remain screening estimates, not vendor quotes.</x:v>
      </x:c>
      <x:c r="H3" s="7" t="str">
        <x:v>Every venue supplied by the couple is retained even when unsuitable. Budget band uses the couple-funded Host-all-beds estimate; ranges remain screening estimates, not vendor quotes.</x:v>
      </x:c>
      <x:c r="I3" s="7" t="str">
        <x:v>Every venue supplied by the couple is retained even when unsuitable. Budget band uses the couple-funded Host-all-beds estimate; ranges remain screening estimates, not vendor quotes.</x:v>
      </x:c>
      <x:c r="J3" s="7" t="str">
        <x:v>Every venue supplied by the couple is retained even when unsuitable. Budget band uses the couple-funded Host-all-beds estimate; ranges remain screening estimates, not vendor quotes.</x:v>
      </x:c>
      <x:c r="K3" s="7" t="str">
        <x:v>Every venue supplied by the couple is retained even when unsuitable. Budget band uses the couple-funded Host-all-beds estimate; ranges remain screening estimates, not vendor quotes.</x:v>
      </x:c>
      <x:c r="L3" s="7" t="str">
        <x:v>Every venue supplied by the couple is retained even when unsuitable. Budget band uses the couple-funded Host-all-beds estimate; ranges remain screening estimates, not vendor quotes.</x:v>
      </x:c>
      <x:c r="M3" s="7" t="str">
        <x:v>Every venue supplied by the couple is retained even when unsuitable. Budget band uses the couple-funded Host-all-beds estimate; ranges remain screening estimates, not vendor quotes.</x:v>
      </x:c>
      <x:c r="N3" s="7" t="str">
        <x:v>Every venue supplied by the couple is retained even when unsuitable. Budget band uses the couple-funded Host-all-beds estimate; ranges remain screening estimates, not vendor quotes.</x:v>
      </x:c>
      <x:c r="O3" s="7" t="str">
        <x:v>Every venue supplied by the couple is retained even when unsuitable. Budget band uses the couple-funded Host-all-beds estimate; ranges remain screening estimates, not vendor quotes.</x:v>
      </x:c>
      <x:c r="P3" s="7" t="str">
        <x:v>Every venue supplied by the couple is retained even when unsuitable. Budget band uses the couple-funded Host-all-beds estimate; ranges remain screening estimates, not vendor quotes.</x:v>
      </x:c>
      <x:c r="Q3" s="7" t="str">
        <x:v>Every venue supplied by the couple is retained even when unsuitable. Budget band uses the couple-funded Host-all-beds estimate; ranges remain screening estimates, not vendor quotes.</x:v>
      </x:c>
      <x:c r="R3" s="7" t="str">
        <x:v>Every venue supplied by the couple is retained even when unsuitable. Budget band uses the couple-funded Host-all-beds estimate; ranges remain screening estimates, not vendor quotes.</x:v>
      </x:c>
    </x:row>
    <x:row r="4" ht="34" customHeight="1">
      <x:c r="A4" s="12" t="str">
        <x:v>Venue</x:v>
      </x:c>
      <x:c r="B4" s="12" t="str">
        <x:v>Origin</x:v>
      </x:c>
      <x:c r="C4" s="12" t="str">
        <x:v>Tier</x:v>
      </x:c>
      <x:c r="D4" s="12" t="str">
        <x:v>Country</x:v>
      </x:c>
      <x:c r="E4" s="12" t="str">
        <x:v>Region</x:v>
      </x:c>
      <x:c r="F4" s="12" t="str">
        <x:v>Model guests</x:v>
      </x:c>
      <x:c r="G4" s="12" t="str">
        <x:v>Capacity</x:v>
      </x:c>
      <x:c r="H4" s="12" t="str">
        <x:v>Sleeps onsite</x:v>
      </x:c>
      <x:c r="I4" s="12" t="str">
        <x:v>Duration</x:v>
      </x:c>
      <x:c r="J4" s="12" t="str">
        <x:v>Buyout / exclusivity</x:v>
      </x:c>
      <x:c r="K4" s="12" t="str">
        <x:v>Modeled low</x:v>
      </x:c>
      <x:c r="L4" s="12" t="str">
        <x:v>Guest-paid fallback</x:v>
      </x:c>
      <x:c r="M4" s="12" t="str">
        <x:v>Modeled high</x:v>
      </x:c>
      <x:c r="N4" s="12" t="str">
        <x:v>Primary host-all</x:v>
      </x:c>
      <x:c r="O4" s="12" t="str">
        <x:v>Budget band (host-all)</x:v>
      </x:c>
      <x:c r="P4" s="12" t="str">
        <x:v>Confidence</x:v>
      </x:c>
      <x:c r="Q4" s="12" t="str">
        <x:v>Published anchor</x:v>
      </x:c>
      <x:c r="R4" s="12" t="str">
        <x:v>Key verdict / note</x:v>
      </x:c>
    </x:row>
    <x:row r="5">
      <x:c r="A5" s="16" t="str">
        <x:v>Borgo Divino</x:v>
      </x:c>
      <x:c r="B5" s="16" t="str">
        <x:v>User list</x:v>
      </x:c>
      <x:c r="C5" s="16" t="str">
        <x:v>A — first-call shortlist</x:v>
      </x:c>
      <x:c r="D5" s="16" t="str">
        <x:v>Italy</x:v>
      </x:c>
      <x:c r="E5" s="16" t="str">
        <x:v>Tuscany</x:v>
      </x:c>
      <x:c r="F5" s="16" t="n">
        <x:v>100</x:v>
      </x:c>
      <x:c r="G5" s="16" t="str">
        <x:v>100-180 listed</x:v>
      </x:c>
      <x:c r="H5" s="16" t="n">
        <x:v>73</x:v>
      </x:c>
      <x:c r="I5" s="16" t="str">
        <x:v>Exclusive wedding-with-stay package available; exact nights and price quote-only</x:v>
      </x:c>
      <x:c r="J5" s="16" t="str">
        <x:v>Full Borgo exclusivity available with overnight stay</x:v>
      </x:c>
      <x:c r="K5" s="61" t="n">
        <x:v>90000</x:v>
      </x:c>
      <x:c r="L5" s="61" t="n">
        <x:v>109000</x:v>
      </x:c>
      <x:c r="M5" s="61" t="n">
        <x:v>126000</x:v>
      </x:c>
      <x:c r="N5" s="61" t="n">
        <x:v>109000</x:v>
      </x:c>
      <x:c r="O5" s="16" t="str">
        <x:v>$100k–$120k</x:v>
      </x:c>
      <x:c r="P5" s="16" t="str">
        <x:v>low-medium</x:v>
      </x:c>
      <x:c r="Q5" s="16" t="str">
        <x:v>Current directory lists wedding menu from EUR 90 per person; exclusive-stay pricing not public</x:v>
      </x:c>
      <x:c r="R5" s="16" t="str">
        <x:v>Very good vibe and operational fit; likely around the preferred-to-maximum budget band, so request a bundled 100-person three-night quote. — One of the better Ristonchi-style candidates because food, planning, rooms and activities are on one property.</x:v>
      </x:c>
    </x:row>
    <x:row r="6">
      <x:c r="A6" s="16" t="str">
        <x:v>Castello di Petrata</x:v>
      </x:c>
      <x:c r="B6" s="16" t="str">
        <x:v>User list</x:v>
      </x:c>
      <x:c r="C6" s="16" t="str">
        <x:v>A — first-call shortlist</x:v>
      </x:c>
      <x:c r="D6" s="16" t="str">
        <x:v>Italy</x:v>
      </x:c>
      <x:c r="E6" s="16" t="str">
        <x:v>Umbria</x:v>
      </x:c>
      <x:c r="F6" s="16" t="n">
        <x:v>100</x:v>
      </x:c>
      <x:c r="G6" s="16" t="str">
        <x:v>100 onsite with hotel plus glamping; event spaces sized for weddings at this count</x:v>
      </x:c>
      <x:c r="H6" s="16" t="n">
        <x:v>100</x:v>
      </x:c>
      <x:c r="I6" s="16" t="str">
        <x:v>2 nights / 3 calendar days in recommended budget case</x:v>
      </x:c>
      <x:c r="J6" s="16" t="str">
        <x:v>Exclusive hotel and all property spaces</x:v>
      </x:c>
      <x:c r="K6" s="61" t="n">
        <x:v>91000</x:v>
      </x:c>
      <x:c r="L6" s="61" t="n">
        <x:v>101000</x:v>
      </x:c>
      <x:c r="M6" s="61" t="n">
        <x:v>110000</x:v>
      </x:c>
      <x:c r="N6" s="61" t="n">
        <x:v>101000</x:v>
      </x:c>
      <x:c r="O6" s="16" t="str">
        <x:v>$100k–$120k</x:v>
      </x:c>
      <x:c r="P6" s="16" t="str">
        <x:v>high on venue/package; medium on external-vendor allowance</x:v>
      </x:c>
      <x:c r="Q6" s="16" t="str">
        <x:v>Official low-season (May 1-13) 2027 two-night Fri-Sun 100-person wedding package EUR 54,300 plus all 20 glamping tents EUR 3,200</x:v>
      </x:c>
      <x:c r="R6" s="16" t="str">
        <x:v>Best documented fit. Early-May two-night weekend can plausibly land near/below $100k; high-season midweek remains under $120k, while most three-night or high-season weekend variants become borderline/over. — Perugia airport about 25 minutes. This is the strongest apples-to-apples alternative to Ristonchi found in Tuscany/Umbria.</x:v>
      </x:c>
    </x:row>
    <x:row r="7">
      <x:c r="A7" s="16" t="str">
        <x:v>Diacceroni Weddings</x:v>
      </x:c>
      <x:c r="B7" s="16" t="str">
        <x:v>User list</x:v>
      </x:c>
      <x:c r="C7" s="16" t="str">
        <x:v>A — first-call shortlist</x:v>
      </x:c>
      <x:c r="D7" s="16" t="str">
        <x:v>Italy</x:v>
      </x:c>
      <x:c r="E7" s="16" t="str">
        <x:v>Tuscany</x:v>
      </x:c>
      <x:c r="F7" s="16" t="n">
        <x:v>100</x:v>
      </x:c>
      <x:c r="G7" s="16" t="str">
        <x:v>Official wedding site says accommodations for up to 150; event capacity is quote-specific by villa</x:v>
      </x:c>
      <x:c r="H7" s="16" t="n">
        <x:v>150</x:v>
      </x:c>
      <x:c r="I7" s="16" t="str">
        <x:v>Typical 3-day program; 2-night minimum</x:v>
      </x:c>
      <x:c r="J7" s="16" t="str">
        <x:v>Exclusive use of selected villa; guest rooms/apartments spread across estate farmhouses</x:v>
      </x:c>
      <x:c r="K7" s="61" t="n">
        <x:v>92000</x:v>
      </x:c>
      <x:c r="L7" s="61" t="n">
        <x:v>111000</x:v>
      </x:c>
      <x:c r="M7" s="61" t="n">
        <x:v>133000</x:v>
      </x:c>
      <x:c r="N7" s="61" t="n">
        <x:v>111000</x:v>
      </x:c>
      <x:c r="O7" s="16" t="str">
        <x:v>$100k–$120k</x:v>
      </x:c>
      <x:c r="P7" s="16" t="str">
        <x:v>low</x:v>
      </x:c>
      <x:c r="Q7" s="16" t="str">
        <x:v>No public wedding package price; official 2027 lodging tariff ranges from about EUR 95-145/night for B&amp;B rooms and EUR 74-311/night for apartments, plus cleaning/AC where applicable</x:v>
      </x:c>
      <x:c r="R7" s="16" t="str">
        <x:v>High-priority quote: one of the closest functional matches to Ristonchi and plausibly under $120k, but public pricing is insufficient to verify. — Correct spelling is Diacceroni. Strong service integration; confirm which accommodations are genuinely walkable and whether internal shuttles are included.</x:v>
      </x:c>
    </x:row>
    <x:row r="8">
      <x:c r="A8" s="16" t="str">
        <x:v>Finca Santa Fe</x:v>
      </x:c>
      <x:c r="B8" s="16" t="str">
        <x:v>Added lead</x:v>
      </x:c>
      <x:c r="C8" s="16" t="str">
        <x:v>A — first-call shortlist</x:v>
      </x:c>
      <x:c r="D8" s="16" t="str">
        <x:v>Spain</x:v>
      </x:c>
      <x:c r="E8" s="16" t="str">
        <x:v>Andalusia – near Málaga</x:v>
      </x:c>
      <x:c r="F8" s="16" t="n">
        <x:v>100</x:v>
      </x:c>
      <x:c r="G8" s="16" t="n">
        <x:v>120</x:v>
      </x:c>
      <x:c r="H8" s="16" t="n">
        <x:v>12</x:v>
      </x:c>
      <x:c r="I8" s="16" t="str">
        <x:v>3 days / 3 nights</x:v>
      </x:c>
      <x:c r="J8" s="16" t="str">
        <x:v>Exclusive finca package</x:v>
      </x:c>
      <x:c r="K8" s="61" t="n">
        <x:v>70000</x:v>
      </x:c>
      <x:c r="L8" s="61" t="n">
        <x:v>82000</x:v>
      </x:c>
      <x:c r="M8" s="61" t="n">
        <x:v>97000</x:v>
      </x:c>
      <x:c r="N8" s="61" t="n">
        <x:v>96000</x:v>
      </x:c>
      <x:c r="O8" s="16" t="str">
        <x:v>Likely under $100k</x:v>
      </x:c>
      <x:c r="P8" s="16" t="str">
        <x:v>High on official package; medium on total</x:v>
      </x:c>
      <x:c r="Q8" s="16" t="str">
        <x:v>Official three-day package €20,350 for 100, including three nights for 12</x:v>
      </x:c>
      <x:c r="R8" s="16" t="str">
        <x:v>Excellent under-$100k path if hotel and shuttle costs are controlled — Best low-cost three-day package found, but it is not a fully residential 100-person estate.</x:v>
      </x:c>
    </x:row>
    <x:row r="9">
      <x:c r="A9" s="16" t="str">
        <x:v>La Pousterle de Sabran</x:v>
      </x:c>
      <x:c r="B9" s="16" t="str">
        <x:v>Added lead</x:v>
      </x:c>
      <x:c r="C9" s="16" t="str">
        <x:v>A — first-call shortlist</x:v>
      </x:c>
      <x:c r="D9" s="16" t="str">
        <x:v>France</x:v>
      </x:c>
      <x:c r="E9" s="16" t="str">
        <x:v>Occitanie - Gard / Provence</x:v>
      </x:c>
      <x:c r="F9" s="16" t="n">
        <x:v>100</x:v>
      </x:c>
      <x:c r="G9" s="16" t="str">
        <x:v>100 seated indoors; up to 300 for cocktails</x:v>
      </x:c>
      <x:c r="H9" s="16" t="n">
        <x:v>100</x:v>
      </x:c>
      <x:c r="I9" s="16" t="str">
        <x:v>Two nights, Friday-Sunday</x:v>
      </x:c>
      <x:c r="J9" s="16" t="str">
        <x:v>Exclusive rental of the full cottage village</x:v>
      </x:c>
      <x:c r="K9" s="61" t="n">
        <x:v>76000</x:v>
      </x:c>
      <x:c r="L9" s="61" t="n">
        <x:v>91000</x:v>
      </x:c>
      <x:c r="M9" s="61" t="n">
        <x:v>105000</x:v>
      </x:c>
      <x:c r="N9" s="61" t="n">
        <x:v>91000</x:v>
      </x:c>
      <x:c r="O9" s="16" t="str">
        <x:v>Likely under $100k</x:v>
      </x:c>
      <x:c r="P9" s="16" t="str">
        <x:v>High for venue/lodging price; medium for total</x:v>
      </x:c>
      <x:c r="Q9" s="16" t="str">
        <x:v>2026-2027 weekend rate EUR 10,450 TTC for 100 people, including 100 beds</x:v>
      </x:c>
      <x:c r="R9" s="16" t="str">
        <x:v>Best overall budget fit for a 100-person residential weekend; likely near or under USD 100k with moderate choices — Top recommendation for cottage-village atmosphere and complete onsite sleeping capacity. A 2028 rate is not yet published; model assumes modest escalation.</x:v>
      </x:c>
    </x:row>
    <x:row r="10">
      <x:c r="A10" s="16" t="str">
        <x:v>Quinta d'Anta Hotel Rural</x:v>
      </x:c>
      <x:c r="B10" s="16" t="str">
        <x:v>Added lead</x:v>
      </x:c>
      <x:c r="C10" s="16" t="str">
        <x:v>A — first-call shortlist</x:v>
      </x:c>
      <x:c r="D10" s="16" t="str">
        <x:v>Portugal</x:v>
      </x:c>
      <x:c r="E10" s="16" t="str">
        <x:v>Coimbra District - Maiorca, Figueira da Foz</x:v>
      </x:c>
      <x:c r="F10" s="16" t="n">
        <x:v>100</x:v>
      </x:c>
      <x:c r="G10" s="16" t="str">
        <x:v>50-250 on current listing; event room up to 300 in hotel materials</x:v>
      </x:c>
      <x:c r="H10" s="16" t="str">
        <x:v>18 rooms; exact people capacity not published</x:v>
      </x:c>
      <x:c r="I10" s="16" t="str">
        <x:v>Standard wedding package is eight hours; a two-day private stay has been reported but must be quoted</x:v>
      </x:c>
      <x:c r="J10" s="16" t="str">
        <x:v>One event per day; full hotel closure/buyout requires written confirmation</x:v>
      </x:c>
      <x:c r="K10" s="61" t="n">
        <x:v>65000</x:v>
      </x:c>
      <x:c r="L10" s="61" t="n">
        <x:v>74000</x:v>
      </x:c>
      <x:c r="M10" s="61" t="n">
        <x:v>83000</x:v>
      </x:c>
      <x:c r="N10" s="61" t="n">
        <x:v>86000</x:v>
      </x:c>
      <x:c r="O10" s="16" t="str">
        <x:v>Likely under $100k</x:v>
      </x:c>
      <x:c r="P10" s="16" t="str">
        <x:v>Medium</x:v>
      </x:c>
      <x:c r="Q10" s="16" t="str">
        <x:v>Current listing updated in 2026 shows menus from EUR 80 per person</x:v>
      </x:c>
      <x:c r="R10" s="16" t="str">
        <x:v>Strong under-USD 100k candidate, including a reasonable allowance for host-paid offsite rooms — Best pure-value Portugal addition, though it is a rural hotel rather than a luxury castle or masseria.</x:v>
      </x:c>
    </x:row>
    <x:row r="11">
      <x:c r="A11" s="16" t="str">
        <x:v>Quinta da Bichinha / Quinta de São Gonçalo</x:v>
      </x:c>
      <x:c r="B11" s="16" t="str">
        <x:v>Added lead</x:v>
      </x:c>
      <x:c r="C11" s="16" t="str">
        <x:v>A — first-call shortlist</x:v>
      </x:c>
      <x:c r="D11" s="16" t="str">
        <x:v>Portugal</x:v>
      </x:c>
      <x:c r="E11" s="16" t="str">
        <x:v>Lisbon district – Alenquer</x:v>
      </x:c>
      <x:c r="F11" s="16" t="n">
        <x:v>100</x:v>
      </x:c>
      <x:c r="G11" s="16" t="str">
        <x:v>Up to 300 wedding guests</x:v>
      </x:c>
      <x:c r="H11" s="16" t="str">
        <x:v>Package states 50 sleeping guests; official room descriptions conflict and need a dated rooming list</x:v>
      </x:c>
      <x:c r="I11" s="16" t="str">
        <x:v>2 nights</x:v>
      </x:c>
      <x:c r="J11" s="16" t="str">
        <x:v>Exclusive rental of the paired venues in the published 2027 package</x:v>
      </x:c>
      <x:c r="K11" s="61" t="n">
        <x:v>80000</x:v>
      </x:c>
      <x:c r="L11" s="61" t="n">
        <x:v>97000</x:v>
      </x:c>
      <x:c r="M11" s="61" t="n">
        <x:v>112000</x:v>
      </x:c>
      <x:c r="N11" s="61" t="n">
        <x:v>110000</x:v>
      </x:c>
      <x:c r="O11" s="16" t="str">
        <x:v>$100k–$120k</x:v>
      </x:c>
      <x:c r="P11" s="16" t="str">
        <x:v>Medium-high on package price; medium on total</x:v>
      </x:c>
      <x:c r="Q11" s="16" t="str">
        <x:v>Indexed 2027 high-season weekend package €30,990 for 50 wedding/sleeping guests; extra wedding guests €129 each, VAT included; modeled 100-person anchor €37,440</x:v>
      </x:c>
      <x:c r="R11" s="16" t="str">
        <x:v>One of the best value leads; likely near the preferred target and within the hard cap — The indexed 2027 PDF URLs now return an error/challenge, so request the current PDF and reconcile the room-count conflict before relying on the package.</x:v>
      </x:c>
    </x:row>
    <x:row r="12">
      <x:c r="A12" s="16" t="str">
        <x:v>SPAO Borgo San Pietro Aquaeortus</x:v>
      </x:c>
      <x:c r="B12" s="16" t="str">
        <x:v>Added lead</x:v>
      </x:c>
      <x:c r="C12" s="16" t="str">
        <x:v>A — first-call shortlist</x:v>
      </x:c>
      <x:c r="D12" s="16" t="str">
        <x:v>Italy</x:v>
      </x:c>
      <x:c r="E12" s="16" t="str">
        <x:v>Umbria – Allerona</x:v>
      </x:c>
      <x:c r="F12" s="16" t="n">
        <x:v>100</x:v>
      </x:c>
      <x:c r="G12" s="16" t="n">
        <x:v>100</x:v>
      </x:c>
      <x:c r="H12" s="16" t="n">
        <x:v>100</x:v>
      </x:c>
      <x:c r="I12" s="16" t="str">
        <x:v>3 nights</x:v>
      </x:c>
      <x:c r="J12" s="16" t="str">
        <x:v>Exclusive medieval borgo</x:v>
      </x:c>
      <x:c r="K12" s="61" t="n">
        <x:v>103000</x:v>
      </x:c>
      <x:c r="L12" s="61" t="n">
        <x:v>116000</x:v>
      </x:c>
      <x:c r="M12" s="61" t="n">
        <x:v>125000</x:v>
      </x:c>
      <x:c r="N12" s="61" t="n">
        <x:v>116000</x:v>
      </x:c>
      <x:c r="O12" s="16" t="str">
        <x:v>$100k–$120k</x:v>
      </x:c>
      <x:c r="P12" s="16" t="str">
        <x:v>Medium-high on scope; medium on 100-person price</x:v>
      </x:c>
      <x:c r="Q12" s="16" t="str">
        <x:v>Official three-night package starts at €58,000 for 75; modeled 100-person core allowance €72,000 pending quote</x:v>
      </x:c>
      <x:c r="R12" s="16" t="str">
        <x:v>Closest true residential Ristonchi alternative; likely within or just above the hard cap — Request an exact 100-person 2027/28 three-night package; the public price is a 75-person starting point.</x:v>
      </x:c>
    </x:row>
    <x:row r="13">
      <x:c r="A13" s="16" t="str">
        <x:v>Bear Brook Valley</x:v>
      </x:c>
      <x:c r="B13" s="16" t="str">
        <x:v>User list</x:v>
      </x:c>
      <x:c r="C13" s="16" t="str">
        <x:v>B — worth a quote</x:v>
      </x:c>
      <x:c r="D13" s="16" t="str">
        <x:v>United States</x:v>
      </x:c>
      <x:c r="E13" s="16" t="str">
        <x:v>New Jersey - Newton</x:v>
      </x:c>
      <x:c r="F13" s="16" t="n">
        <x:v>150</x:v>
      </x:c>
      <x:c r="G13" s="16" t="n">
        <x:v>325</x:v>
      </x:c>
      <x:c r="H13" s="16" t="n">
        <x:v>0</x:v>
      </x:c>
      <x:c r="I13" s="16" t="str">
        <x:v>One wedding/day; 90-minute cocktail plus reception</x:v>
      </x:c>
      <x:c r="J13" s="16" t="str">
        <x:v>Exclusive wedding day, not residential</x:v>
      </x:c>
      <x:c r="K13" s="61" t="n">
        <x:v>75000</x:v>
      </x:c>
      <x:c r="L13" s="61" t="n">
        <x:v>90000</x:v>
      </x:c>
      <x:c r="M13" s="61" t="n">
        <x:v>105000</x:v>
      </x:c>
      <x:c r="N13" s="61" t="n">
        <x:v>135000</x:v>
      </x:c>
      <x:c r="O13" s="16" t="str">
        <x:v>Over $120k</x:v>
      </x:c>
      <x:c r="P13" s="16" t="str">
        <x:v>High</x:v>
      </x:c>
      <x:c r="Q13" s="16" t="str">
        <x:v>Peak USD 290-350 pp; peak full wedding starts USD 41,300</x:v>
      </x:c>
      <x:c r="R13" s="16" t="str">
        <x:v>Strong inclusive one-day value; plausible under USD 100k — User typo 'Bear bank valley.'</x:v>
      </x:c>
    </x:row>
    <x:row r="14">
      <x:c r="A14" s="16" t="str">
        <x:v>Blooming Hill Farm</x:v>
      </x:c>
      <x:c r="B14" s="16" t="str">
        <x:v>Added lead</x:v>
      </x:c>
      <x:c r="C14" s="16" t="str">
        <x:v>B — worth a quote</x:v>
      </x:c>
      <x:c r="D14" s="16" t="str">
        <x:v>United States</x:v>
      </x:c>
      <x:c r="E14" s="16" t="str">
        <x:v>New York - Monroe</x:v>
      </x:c>
      <x:c r="F14" s="16" t="n">
        <x:v>150</x:v>
      </x:c>
      <x:c r="G14" s="16" t="n">
        <x:v>200</x:v>
      </x:c>
      <x:c r="H14" s="16" t="n">
        <x:v>0</x:v>
      </x:c>
      <x:c r="I14" s="16" t="str">
        <x:v>One-day 4-10 p.m.</x:v>
      </x:c>
      <x:c r="J14" s="16" t="str">
        <x:v>Exclusive wedding day, not weekend</x:v>
      </x:c>
      <x:c r="K14" s="61" t="n">
        <x:v>83000</x:v>
      </x:c>
      <x:c r="L14" s="61" t="n">
        <x:v>96000</x:v>
      </x:c>
      <x:c r="M14" s="61" t="n">
        <x:v>110000</x:v>
      </x:c>
      <x:c r="N14" s="61" t="n">
        <x:v>141000</x:v>
      </x:c>
      <x:c r="O14" s="16" t="str">
        <x:v>Over $120k</x:v>
      </x:c>
      <x:c r="P14" s="16" t="str">
        <x:v>High</x:v>
      </x:c>
      <x:c r="Q14" s="16" t="str">
        <x:v>Sat site USD 12,500; food USD 155-190 pp; five-hour bar USD 55-90; 23% admin + 8.125% tax</x:v>
      </x:c>
      <x:c r="R14" s="16" t="str">
        <x:v>Great farm/tent look near USD 100k, but not weekend and early finish — 150 Sat basic ~USD 58.5k after fees/tax; mid tier ~USD 66.5k before creative vendors.</x:v>
      </x:c>
    </x:row>
    <x:row r="15">
      <x:c r="A15" s="16" t="str">
        <x:v>Brotherhood Winery</x:v>
      </x:c>
      <x:c r="B15" s="16" t="str">
        <x:v>User list</x:v>
      </x:c>
      <x:c r="C15" s="16" t="str">
        <x:v>B — worth a quote</x:v>
      </x:c>
      <x:c r="D15" s="16" t="str">
        <x:v>United States</x:v>
      </x:c>
      <x:c r="E15" s="16" t="str">
        <x:v>New York - Washingtonville</x:v>
      </x:c>
      <x:c r="F15" s="16" t="n">
        <x:v>150</x:v>
      </x:c>
      <x:c r="G15" s="16" t="n">
        <x:v>220</x:v>
      </x:c>
      <x:c r="H15" s="16" t="n">
        <x:v>0</x:v>
      </x:c>
      <x:c r="I15" s="16" t="str">
        <x:v>One-day winery event</x:v>
      </x:c>
      <x:c r="J15" s="16" t="str">
        <x:v>Private spaces; no lodging</x:v>
      </x:c>
      <x:c r="K15" s="61" t="n">
        <x:v>70000</x:v>
      </x:c>
      <x:c r="L15" s="61" t="n">
        <x:v>90000</x:v>
      </x:c>
      <x:c r="M15" s="61" t="n">
        <x:v>110000</x:v>
      </x:c>
      <x:c r="N15" s="61" t="n">
        <x:v>135000</x:v>
      </x:c>
      <x:c r="O15" s="16" t="str">
        <x:v>Over $120k</x:v>
      </x:c>
      <x:c r="P15" s="16" t="str">
        <x:v>Very low</x:v>
      </x:c>
      <x:c r="Q15" s="16" t="str">
        <x:v>Quote-only</x:v>
      </x:c>
      <x:c r="R15" s="16" t="str">
        <x:v>Do not shortlist without itemized quote — Official site confirms weddings/capacity but little else.</x:v>
      </x:c>
    </x:row>
    <x:row r="16">
      <x:c r="A16" s="16" t="str">
        <x:v>Camp Puh'tok</x:v>
      </x:c>
      <x:c r="B16" s="16" t="str">
        <x:v>Added lead</x:v>
      </x:c>
      <x:c r="C16" s="16" t="str">
        <x:v>B — worth a quote</x:v>
      </x:c>
      <x:c r="D16" s="16" t="str">
        <x:v>United States</x:v>
      </x:c>
      <x:c r="E16" s="16" t="str">
        <x:v>Maryland - Monkton</x:v>
      </x:c>
      <x:c r="F16" s="16" t="n">
        <x:v>150</x:v>
      </x:c>
      <x:c r="G16" s="16" t="n">
        <x:v>200</x:v>
      </x:c>
      <x:c r="H16" s="16" t="n">
        <x:v>180</x:v>
      </x:c>
      <x:c r="I16" s="16" t="str">
        <x:v>Friday 2 p.m.-Sunday 5 p.m.</x:v>
      </x:c>
      <x:c r="J16" s="16" t="str">
        <x:v>Exclusive property weekend</x:v>
      </x:c>
      <x:c r="K16" s="61" t="n">
        <x:v>55000</x:v>
      </x:c>
      <x:c r="L16" s="61" t="n">
        <x:v>72000</x:v>
      </x:c>
      <x:c r="M16" s="61" t="n">
        <x:v>90000</x:v>
      </x:c>
      <x:c r="N16" s="61" t="n">
        <x:v>72000</x:v>
      </x:c>
      <x:c r="O16" s="16" t="str">
        <x:v>Likely under $100k</x:v>
      </x:c>
      <x:c r="P16" s="16" t="str">
        <x:v>High for rental; medium total</x:v>
      </x:c>
      <x:c r="Q16" s="16" t="str">
        <x:v>2027 weekend USD 11,000</x:v>
      </x:c>
      <x:c r="R16" s="16" t="str">
        <x:v>Excellent budget weekend with beds for all; substantial vendor assembly — Zipline/ropes/archery/swimming/team building add-ons.</x:v>
      </x:c>
    </x:row>
    <x:row r="17">
      <x:c r="A17" s="16" t="str">
        <x:v>Chateau Sentout</x:v>
      </x:c>
      <x:c r="B17" s="16" t="str">
        <x:v>Added lead</x:v>
      </x:c>
      <x:c r="C17" s="16" t="str">
        <x:v>B — worth a quote</x:v>
      </x:c>
      <x:c r="D17" s="16" t="str">
        <x:v>France</x:v>
      </x:c>
      <x:c r="E17" s="16" t="str">
        <x:v>Nouvelle-Aquitaine - Tabanac, near Bordeaux</x:v>
      </x:c>
      <x:c r="F17" s="16" t="n">
        <x:v>100</x:v>
      </x:c>
      <x:c r="G17" s="16" t="str">
        <x:v>100 indoors; approximately 120-130 outdoors</x:v>
      </x:c>
      <x:c r="H17" s="16" t="n">
        <x:v>50</x:v>
      </x:c>
      <x:c r="I17" s="16" t="str">
        <x:v>Three days and three nights, Friday-Monday or Monday-Thursday</x:v>
      </x:c>
      <x:c r="J17" s="16" t="str">
        <x:v>Exclusive estate rental with free supplier choice</x:v>
      </x:c>
      <x:c r="K17" s="61" t="n">
        <x:v>77000</x:v>
      </x:c>
      <x:c r="L17" s="61" t="n">
        <x:v>88000</x:v>
      </x:c>
      <x:c r="M17" s="61" t="n">
        <x:v>98000</x:v>
      </x:c>
      <x:c r="N17" s="61" t="n">
        <x:v>100000</x:v>
      </x:c>
      <x:c r="O17" s="16" t="str">
        <x:v>Likely under $100k</x:v>
      </x:c>
      <x:c r="P17" s="16" t="str">
        <x:v>High for venue price; medium for total</x:v>
      </x:c>
      <x:c r="Q17" s="16" t="str">
        <x:v>2027 EUR 10,700-EUR 13,700; 2028 EUR 10,500-EUR 14,100 for three nights</x:v>
      </x:c>
      <x:c r="R17" s="16" t="str">
        <x:v>Excellent under-USD 100k core candidate; host-paid rooms for everyone put the midpoint near USD 100k — Best-priced published 2027/28 chateau-style estate found, with more DIY vendor coordination than Ristonchi.</x:v>
      </x:c>
    </x:row>
    <x:row r="18">
      <x:c r="A18" s="16" t="str">
        <x:v>Crossed Keys Estate</x:v>
      </x:c>
      <x:c r="B18" s="16" t="str">
        <x:v>User list</x:v>
      </x:c>
      <x:c r="C18" s="16" t="str">
        <x:v>B — worth a quote</x:v>
      </x:c>
      <x:c r="D18" s="16" t="str">
        <x:v>United States</x:v>
      </x:c>
      <x:c r="E18" s="16" t="str">
        <x:v>New Jersey - Andover</x:v>
      </x:c>
      <x:c r="F18" s="16" t="n">
        <x:v>150</x:v>
      </x:c>
      <x:c r="G18" s="16" t="n">
        <x:v>275</x:v>
      </x:c>
      <x:c r="H18" s="16" t="str"/>
      <x:c r="I18" s="16" t="str">
        <x:v>One-day Thu-Sun event; midnight end</x:v>
      </x:c>
      <x:c r="J18" s="16" t="str">
        <x:v>Exclusive wedding-day event, not residential weekend</x:v>
      </x:c>
      <x:c r="K18" s="61" t="n">
        <x:v>75000</x:v>
      </x:c>
      <x:c r="L18" s="61" t="n">
        <x:v>90000</x:v>
      </x:c>
      <x:c r="M18" s="61" t="n">
        <x:v>110000</x:v>
      </x:c>
      <x:c r="N18" s="61" t="n">
        <x:v>135000</x:v>
      </x:c>
      <x:c r="O18" s="16" t="str">
        <x:v>Over $120k</x:v>
      </x:c>
      <x:c r="P18" s="16" t="str">
        <x:v>High</x:v>
      </x:c>
      <x:c r="Q18" s="16" t="str">
        <x:v>Peak full wedding starts USD 34,000; menu starts USD 288 pp</x:v>
      </x:c>
      <x:c r="R18" s="16" t="str">
        <x:v>Likely under USD 100k at favorable end; not a weekend buyout — Venue coordinator is not a full planner.</x:v>
      </x:c>
    </x:row>
    <x:row r="19">
      <x:c r="A19" s="16" t="str">
        <x:v>Frost Valley YMCA</x:v>
      </x:c>
      <x:c r="B19" s="16" t="str">
        <x:v>Added lead</x:v>
      </x:c>
      <x:c r="C19" s="16" t="str">
        <x:v>B — worth a quote</x:v>
      </x:c>
      <x:c r="D19" s="16" t="str">
        <x:v>United States</x:v>
      </x:c>
      <x:c r="E19" s="16" t="str">
        <x:v>New York - Claryville, Catskills</x:v>
      </x:c>
      <x:c r="F19" s="16" t="n">
        <x:v>150</x:v>
      </x:c>
      <x:c r="G19" s="16" t="str">
        <x:v>Package 150; official overview 175; one Geyer layout 120</x:v>
      </x:c>
      <x:c r="H19" s="16" t="n">
        <x:v>150</x:v>
      </x:c>
      <x:c r="I19" s="16" t="str">
        <x:v>Weekend-capable; exact package nights unknown</x:v>
      </x:c>
      <x:c r="J19" s="16" t="str">
        <x:v>Ceremony/reception + lodging choice; campus exclusivity unproven</x:v>
      </x:c>
      <x:c r="K19" s="61" t="n">
        <x:v>65000</x:v>
      </x:c>
      <x:c r="L19" s="61" t="n">
        <x:v>85000</x:v>
      </x:c>
      <x:c r="M19" s="61" t="n">
        <x:v>110000</x:v>
      </x:c>
      <x:c r="N19" s="61" t="n">
        <x:v>85000</x:v>
      </x:c>
      <x:c r="O19" s="16" t="str">
        <x:v>Likely under $100k</x:v>
      </x:c>
      <x:c r="P19" s="16" t="str">
        <x:v>Low-medium</x:v>
      </x:c>
      <x:c r="Q19" s="16" t="str">
        <x:v>Main 20-150 package USD 23,500-40,000; official venue-only statement starts USD 4,000</x:v>
      </x:c>
      <x:c r="R19" s="16" t="str">
        <x:v>Promising value only after capacity/lodging/F&amp;B are resolved — Critical: mid-Jun-Aug public summer package is only 20-50; 150 must be May, early Jun or Sep with signed floor plan.</x:v>
      </x:c>
    </x:row>
    <x:row r="20">
      <x:c r="A20" s="16" t="str">
        <x:v>Harbor Camps</x:v>
      </x:c>
      <x:c r="B20" s="16" t="str">
        <x:v>Added lead</x:v>
      </x:c>
      <x:c r="C20" s="16" t="str">
        <x:v>B — worth a quote</x:v>
      </x:c>
      <x:c r="D20" s="16" t="str">
        <x:v>United States</x:v>
      </x:c>
      <x:c r="E20" s="16" t="str">
        <x:v>New Hampshire - lakefront camp</x:v>
      </x:c>
      <x:c r="F20" s="16" t="n">
        <x:v>150</x:v>
      </x:c>
      <x:c r="G20" s="16" t="n">
        <x:v>200</x:v>
      </x:c>
      <x:c r="H20" s="16" t="n">
        <x:v>200</x:v>
      </x:c>
      <x:c r="I20" s="16" t="str">
        <x:v>Friday noon-Sunday evening</x:v>
      </x:c>
      <x:c r="J20" s="16" t="str">
        <x:v>Exclusive 116-acre camp</x:v>
      </x:c>
      <x:c r="K20" s="61" t="n">
        <x:v>55000</x:v>
      </x:c>
      <x:c r="L20" s="61" t="n">
        <x:v>75000</x:v>
      </x:c>
      <x:c r="M20" s="61" t="n">
        <x:v>95000</x:v>
      </x:c>
      <x:c r="N20" s="61" t="n">
        <x:v>75000</x:v>
      </x:c>
      <x:c r="O20" s="16" t="str">
        <x:v>Likely under $100k</x:v>
      </x:c>
      <x:c r="P20" s="16" t="str">
        <x:v>High for rental; medium total</x:v>
      </x:c>
      <x:c r="Q20" s="16" t="str">
        <x:v>2027 exclusive weekend USD 9,500</x:v>
      </x:c>
      <x:c r="R20" s="16" t="str">
        <x:v>Very affordable with all beds; rustic bunk-camp, not polished inn — Availability checked: 2027 Aug 20-22/Sep 24-26; 2028 Sep 8-10, 15-17, 22-24.</x:v>
      </x:c>
    </x:row>
    <x:row r="21">
      <x:c r="A21" s="16" t="str">
        <x:v>Hopewell Valley Vineyards</x:v>
      </x:c>
      <x:c r="B21" s="16" t="str">
        <x:v>User list</x:v>
      </x:c>
      <x:c r="C21" s="16" t="str">
        <x:v>B — worth a quote</x:v>
      </x:c>
      <x:c r="D21" s="16" t="str">
        <x:v>United States</x:v>
      </x:c>
      <x:c r="E21" s="16" t="str">
        <x:v>New Jersey - Pennington</x:v>
      </x:c>
      <x:c r="F21" s="16" t="n">
        <x:v>150</x:v>
      </x:c>
      <x:c r="G21" s="16" t="str">
        <x:v>Third-party: 150 indoors; 400 outdoors</x:v>
      </x:c>
      <x:c r="H21" s="16" t="n">
        <x:v>0</x:v>
      </x:c>
      <x:c r="I21" s="16" t="str">
        <x:v>One-day seasonal tent with indoor rain backup</x:v>
      </x:c>
      <x:c r="J21" s="16" t="str">
        <x:v>Event space only</x:v>
      </x:c>
      <x:c r="K21" s="61" t="n">
        <x:v>65000</x:v>
      </x:c>
      <x:c r="L21" s="61" t="n">
        <x:v>82000</x:v>
      </x:c>
      <x:c r="M21" s="61" t="n">
        <x:v>100000</x:v>
      </x:c>
      <x:c r="N21" s="61" t="n">
        <x:v>127000</x:v>
      </x:c>
      <x:c r="O21" s="16" t="str">
        <x:v>Over $120k</x:v>
      </x:c>
      <x:c r="P21" s="16" t="str">
        <x:v>Low</x:v>
      </x:c>
      <x:c r="Q21" s="16" t="str">
        <x:v>No official price; directory starts USD 13,764 for 50</x:v>
      </x:c>
      <x:c r="R21" s="16" t="str">
        <x:v>Could fit under USD 100k but major costs are unpriced — Require exact tent, wine, exclusive liquor, rental and fee terms.</x:v>
      </x:c>
    </x:row>
    <x:row r="22">
      <x:c r="A22" s="16" t="str">
        <x:v>Hotel Casa Palmela</x:v>
      </x:c>
      <x:c r="B22" s="16" t="str">
        <x:v>User list</x:v>
      </x:c>
      <x:c r="C22" s="16" t="str">
        <x:v>B — worth a quote</x:v>
      </x:c>
      <x:c r="D22" s="16" t="str">
        <x:v>Portugal</x:v>
      </x:c>
      <x:c r="E22" s="16" t="str">
        <x:v>Setubal - Serra da Arrabida</x:v>
      </x:c>
      <x:c r="F22" s="16" t="n">
        <x:v>100</x:v>
      </x:c>
      <x:c r="G22" s="16" t="str">
        <x:v>Official events page says 90 seated indoors; technical sheet says 120; garden cocktails up to 300</x:v>
      </x:c>
      <x:c r="H22" s="16" t="str">
        <x:v>21 rooms plus 5 houses; exact people capacity is quote-dependent</x:v>
      </x:c>
      <x:c r="I22" s="16" t="str">
        <x:v>No fixed wedding-weekend duration published; two to three nights modeled</x:v>
      </x:c>
      <x:c r="J22" s="16" t="str">
        <x:v>Event-space exclusivity only unless a separate full-hotel buyout is contracted</x:v>
      </x:c>
      <x:c r="K22" s="61" t="n">
        <x:v>84000</x:v>
      </x:c>
      <x:c r="L22" s="61" t="n">
        <x:v>101000</x:v>
      </x:c>
      <x:c r="M22" s="61" t="n">
        <x:v>118000</x:v>
      </x:c>
      <x:c r="N22" s="61" t="n">
        <x:v>114000</x:v>
      </x:c>
      <x:c r="O22" s="16" t="str">
        <x:v>$100k–$120k</x:v>
      </x:c>
      <x:c r="P22" s="16" t="str">
        <x:v>Medium</x:v>
      </x:c>
      <x:c r="Q22" s="16" t="str">
        <x:v>Marques de Monfalim room up to eight hours EUR 2,500 VAT included; Zimbral outside high season has EUR 2,250 deductible food-and-beverage minimum</x:v>
      </x:c>
      <x:c r="R22" s="16" t="str">
        <x:v>Can fit under USD 120k, but preferred USD 100k is uncertain and full exclusivity may add cost — Resolve the official 90-versus-120 indoor capacity discrepancy with a dated floor plan. The published technical sheet is dated 2024 and requires 2027/28 reconfirmation.</x:v>
      </x:c>
    </x:row>
    <x:row r="23">
      <x:c r="A23" s="16" t="str">
        <x:v>Inn at Fernbrook Farms</x:v>
      </x:c>
      <x:c r="B23" s="16" t="str">
        <x:v>User workbook</x:v>
      </x:c>
      <x:c r="C23" s="16" t="str">
        <x:v>B — worth a quote</x:v>
      </x:c>
      <x:c r="D23" s="16" t="str">
        <x:v>United States</x:v>
      </x:c>
      <x:c r="E23" s="16" t="str">
        <x:v>New Jersey - Chesterfield</x:v>
      </x:c>
      <x:c r="F23" s="16" t="n">
        <x:v>150</x:v>
      </x:c>
      <x:c r="G23" s="16" t="str">
        <x:v>At least 150; exact tent max quote-only</x:v>
      </x:c>
      <x:c r="H23" s="16" t="str"/>
      <x:c r="I23" s="16" t="str">
        <x:v>Exclusive noon wedding day to 10 a.m. next day</x:v>
      </x:c>
      <x:c r="J23" s="16" t="str">
        <x:v>Private 230-acre estate and manor for 22 hours</x:v>
      </x:c>
      <x:c r="K23" s="61" t="n">
        <x:v>70000</x:v>
      </x:c>
      <x:c r="L23" s="61" t="n">
        <x:v>88000</x:v>
      </x:c>
      <x:c r="M23" s="61" t="n">
        <x:v>105000</x:v>
      </x:c>
      <x:c r="N23" s="61" t="n">
        <x:v>130000</x:v>
      </x:c>
      <x:c r="O23" s="16" t="str">
        <x:v>Over $120k</x:v>
      </x:c>
      <x:c r="P23" s="16" t="str">
        <x:v>High</x:v>
      </x:c>
      <x:c r="Q23" s="16" t="str">
        <x:v>Site USD 10,000-15,000; in-house catering USD 150 pp++</x:v>
      </x:c>
      <x:c r="R23" s="16" t="str">
        <x:v>Strong NJ fit with path under USD 100k — Repeated in the user's workbook as an active-interest reminder; no new quote facts were supplied.</x:v>
      </x:c>
    </x:row>
    <x:row r="24">
      <x:c r="A24" s="16" t="str">
        <x:v>Lama di Luna Biomasseria</x:v>
      </x:c>
      <x:c r="B24" s="16" t="str">
        <x:v>Added lead</x:v>
      </x:c>
      <x:c r="C24" s="16" t="str">
        <x:v>B — worth a quote</x:v>
      </x:c>
      <x:c r="D24" s="16" t="str">
        <x:v>Italy</x:v>
      </x:c>
      <x:c r="E24" s="16" t="str">
        <x:v>Puglia - Alta Murgia / Andria</x:v>
      </x:c>
      <x:c r="F24" s="16" t="n">
        <x:v>100</x:v>
      </x:c>
      <x:c r="G24" s="16" t="n">
        <x:v>100</x:v>
      </x:c>
      <x:c r="H24" s="16" t="n">
        <x:v>29</x:v>
      </x:c>
      <x:c r="I24" s="16" t="str">
        <x:v>Two-night minimum</x:v>
      </x:c>
      <x:c r="J24" s="16" t="str">
        <x:v>Exclusive property rental</x:v>
      </x:c>
      <x:c r="K24" s="61" t="n">
        <x:v>78000</x:v>
      </x:c>
      <x:c r="L24" s="61" t="n">
        <x:v>88000</x:v>
      </x:c>
      <x:c r="M24" s="61" t="n">
        <x:v>98000</x:v>
      </x:c>
      <x:c r="N24" s="61" t="n">
        <x:v>100000</x:v>
      </x:c>
      <x:c r="O24" s="16" t="str">
        <x:v>Likely under $100k</x:v>
      </x:c>
      <x:c r="P24" s="16" t="str">
        <x:v>Medium-low</x:v>
      </x:c>
      <x:c r="Q24" s="16" t="str">
        <x:v>2025 high-season exclusive two-night rental EUR 10,700 before 10% VAT; catering approximately EUR 200 per person</x:v>
      </x:c>
      <x:c r="R24" s="16" t="str">
        <x:v>Strong Puglia candidate under USD 100k core; all-hosted lodging may reach roughly USD 113k at the high end — Best Puglia value/vibe addition, but the only public rental benchmark is for 2025 and must be refreshed for 2027/28.</x:v>
      </x:c>
    </x:row>
    <x:row r="25">
      <x:c r="A25" s="16" t="str">
        <x:v>Masseria Le Carrube</x:v>
      </x:c>
      <x:c r="B25" s="16" t="str">
        <x:v>User workbook</x:v>
      </x:c>
      <x:c r="C25" s="16" t="str">
        <x:v>B — worth a quote</x:v>
      </x:c>
      <x:c r="D25" s="16" t="str">
        <x:v>Italy</x:v>
      </x:c>
      <x:c r="E25" s="16" t="str">
        <x:v>Ostuni, Puglia</x:v>
      </x:c>
      <x:c r="F25" s="16" t="n">
        <x:v>100</x:v>
      </x:c>
      <x:c r="G25" s="16" t="str">
        <x:v>Up to 200 outdoors; indoor wet-weather plan about 70</x:v>
      </x:c>
      <x:c r="H25" s="16" t="str">
        <x:v>19 rooms / about 38 beds</x:v>
      </x:c>
      <x:c r="I25" s="16" t="str">
        <x:v>Multi-night buyout possible; minimum stay quote-only</x:v>
      </x:c>
      <x:c r="J25" s="16" t="str">
        <x:v>Exclusive use quote-only</x:v>
      </x:c>
      <x:c r="K25" s="61" t="n">
        <x:v>90000</x:v>
      </x:c>
      <x:c r="L25" s="61" t="n">
        <x:v>112000</x:v>
      </x:c>
      <x:c r="M25" s="61" t="n">
        <x:v>140000</x:v>
      </x:c>
      <x:c r="N25" s="61" t="n">
        <x:v>137000</x:v>
      </x:c>
      <x:c r="O25" s="16" t="str">
        <x:v>Over $120k</x:v>
      </x:c>
      <x:c r="P25" s="16" t="str">
        <x:v>Low-medium</x:v>
      </x:c>
      <x:c r="Q25" s="16" t="str">
        <x:v>Wedding buyout quote-only; public 2026 brunch at EUR 50/person is only an event-cost reference, not a wedding package</x:v>
      </x:c>
      <x:c r="R25" s="16" t="str">
        <x:v>Worth a quote; compare only after room, curfew and full F&amp;B terms arrive — High Puglia vibe and in-house chef; rain plan, buyout price, late music and overflow shuttles are the major gaps.</x:v>
      </x:c>
    </x:row>
    <x:row r="26">
      <x:c r="A26" s="16" t="str">
        <x:v>Millbrook Vineyards &amp; Winery</x:v>
      </x:c>
      <x:c r="B26" s="16" t="str">
        <x:v>User list</x:v>
      </x:c>
      <x:c r="C26" s="16" t="str">
        <x:v>B — worth a quote</x:v>
      </x:c>
      <x:c r="D26" s="16" t="str">
        <x:v>United States</x:v>
      </x:c>
      <x:c r="E26" s="16" t="str">
        <x:v>New York - Millbrook</x:v>
      </x:c>
      <x:c r="F26" s="16" t="n">
        <x:v>150</x:v>
      </x:c>
      <x:c r="G26" s="16" t="n">
        <x:v>120</x:v>
      </x:c>
      <x:c r="H26" s="16" t="n">
        <x:v>0</x:v>
      </x:c>
      <x:c r="I26" s="16" t="str">
        <x:v>One-day; May/June weekends, fall Fridays/weekdays</x:v>
      </x:c>
      <x:c r="J26" s="16" t="str">
        <x:v>Event site only</x:v>
      </x:c>
      <x:c r="K26" s="61" t="str"/>
      <x:c r="L26" s="61" t="str"/>
      <x:c r="M26" s="61" t="str"/>
      <x:c r="N26" s="61" t="str"/>
      <x:c r="O26" s="16" t="str">
        <x:v>Quote required</x:v>
      </x:c>
      <x:c r="P26" s="16" t="str">
        <x:v>High</x:v>
      </x:c>
      <x:c r="Q26" s="16" t="str">
        <x:v>USD 5,000 site; catering/rentals separate</x:v>
      </x:c>
      <x:c r="R26" s="16" t="str">
        <x:v>Eliminate: official seated max 120 — Wedding package, not standing-event sheet, controls.</x:v>
      </x:c>
    </x:row>
    <x:row r="27">
      <x:c r="A27" s="16" t="str">
        <x:v>Montfair Resort Farm</x:v>
      </x:c>
      <x:c r="B27" s="16" t="str">
        <x:v>Added lead</x:v>
      </x:c>
      <x:c r="C27" s="16" t="str">
        <x:v>B — worth a quote</x:v>
      </x:c>
      <x:c r="D27" s="16" t="str">
        <x:v>United States</x:v>
      </x:c>
      <x:c r="E27" s="16" t="str">
        <x:v>Virginia - Crozet</x:v>
      </x:c>
      <x:c r="F27" s="16" t="n">
        <x:v>150</x:v>
      </x:c>
      <x:c r="G27" s="16" t="n">
        <x:v>200</x:v>
      </x:c>
      <x:c r="H27" s="16" t="n">
        <x:v>54</x:v>
      </x:c>
      <x:c r="I27" s="16" t="str">
        <x:v>Friday noon-Sunday 3 p.m.</x:v>
      </x:c>
      <x:c r="J27" s="16" t="str">
        <x:v>One private event; full privacy needs destination package/all lodging</x:v>
      </x:c>
      <x:c r="K27" s="61" t="n">
        <x:v>65000</x:v>
      </x:c>
      <x:c r="L27" s="61" t="n">
        <x:v>82000</x:v>
      </x:c>
      <x:c r="M27" s="61" t="n">
        <x:v>100000</x:v>
      </x:c>
      <x:c r="N27" s="61" t="n">
        <x:v>125000</x:v>
      </x:c>
      <x:c r="O27" s="16" t="str">
        <x:v>Over $120k</x:v>
      </x:c>
      <x:c r="P27" s="16" t="str">
        <x:v>High</x:v>
      </x:c>
      <x:c r="Q27" s="16" t="str">
        <x:v>2026 full weekend for 121-160: USD 13,040 + 5.3% VA tax</x:v>
      </x:c>
      <x:c r="R27" s="16" t="str">
        <x:v>Strong cottage/woods weekend value; more DIY than Ristonchi — Outside coordinator required; other cottage guests possible unless all lodging booked.</x:v>
      </x:c>
    </x:row>
    <x:row r="28">
      <x:c r="A28" s="16" t="str">
        <x:v>Orchard &amp; Star</x:v>
      </x:c>
      <x:c r="B28" s="16" t="str">
        <x:v>Added lead</x:v>
      </x:c>
      <x:c r="C28" s="16" t="str">
        <x:v>B — worth a quote</x:v>
      </x:c>
      <x:c r="D28" s="16" t="str">
        <x:v>United States</x:v>
      </x:c>
      <x:c r="E28" s="16" t="str">
        <x:v>New York – Catskills</x:v>
      </x:c>
      <x:c r="F28" s="16" t="n">
        <x:v>150</x:v>
      </x:c>
      <x:c r="G28" s="16" t="n">
        <x:v>150</x:v>
      </x:c>
      <x:c r="H28" s="16" t="str">
        <x:v>Farmhouse only; exact current bed count requires quote</x:v>
      </x:c>
      <x:c r="I28" s="16" t="str">
        <x:v>3 farmhouse nights; event duration depends on package</x:v>
      </x:c>
      <x:c r="J28" s="16" t="str">
        <x:v>Farm venue with farmhouse stay; broader exclusivity must be confirmed</x:v>
      </x:c>
      <x:c r="K28" s="61" t="n">
        <x:v>85000</x:v>
      </x:c>
      <x:c r="L28" s="61" t="n">
        <x:v>108000</x:v>
      </x:c>
      <x:c r="M28" s="61" t="n">
        <x:v>130000</x:v>
      </x:c>
      <x:c r="N28" s="61" t="n">
        <x:v>138000</x:v>
      </x:c>
      <x:c r="O28" s="16" t="str">
        <x:v>Over $120k</x:v>
      </x:c>
      <x:c r="P28" s="16" t="str">
        <x:v>Medium on core; low-medium on total</x:v>
      </x:c>
      <x:c r="Q28" s="16" t="str">
        <x:v>2026/27 150-person core: $21,600 without planner or $26,600 with planner; catering, tent/dancefloor and transport extra</x:v>
      </x:c>
      <x:c r="R28" s="16" t="str">
        <x:v>Possible within $120k with disciplined vendor choices and guest-paid rooms — Good Catskills farm wildcard; less turnkey than Full Moon or Blenheim.</x:v>
      </x:c>
    </x:row>
    <x:row r="29">
      <x:c r="A29" s="16" t="str">
        <x:v>Perona Farms</x:v>
      </x:c>
      <x:c r="B29" s="16" t="str">
        <x:v>User list</x:v>
      </x:c>
      <x:c r="C29" s="16" t="str">
        <x:v>B — worth a quote</x:v>
      </x:c>
      <x:c r="D29" s="16" t="str">
        <x:v>United States</x:v>
      </x:c>
      <x:c r="E29" s="16" t="str">
        <x:v>New Jersey - Andover</x:v>
      </x:c>
      <x:c r="F29" s="16" t="n">
        <x:v>150</x:v>
      </x:c>
      <x:c r="G29" s="16" t="str">
        <x:v>150 fits</x:v>
      </x:c>
      <x:c r="H29" s="16" t="n">
        <x:v>0</x:v>
      </x:c>
      <x:c r="I29" s="16" t="str">
        <x:v>One-day event</x:v>
      </x:c>
      <x:c r="J29" s="16" t="str">
        <x:v>Private event space, not residential</x:v>
      </x:c>
      <x:c r="K29" s="61" t="n">
        <x:v>65000</x:v>
      </x:c>
      <x:c r="L29" s="61" t="n">
        <x:v>85000</x:v>
      </x:c>
      <x:c r="M29" s="61" t="n">
        <x:v>110000</x:v>
      </x:c>
      <x:c r="N29" s="61" t="n">
        <x:v>130000</x:v>
      </x:c>
      <x:c r="O29" s="16" t="str">
        <x:v>Over $120k</x:v>
      </x:c>
      <x:c r="P29" s="16" t="str">
        <x:v>Medium</x:v>
      </x:c>
      <x:c r="Q29" s="16" t="str">
        <x:v>Starts USD 165 pp; current analysis USD 165-305 before 23% service + 6.625% tax; ceremony about USD 1,800</x:v>
      </x:c>
      <x:c r="R29" s="16" t="str">
        <x:v>Can fit; peak upgrades approach ceiling — Official price sheet not public.</x:v>
      </x:c>
    </x:row>
    <x:row r="30">
      <x:c r="A30" s="16" t="str">
        <x:v>Quata Tuscany Country House</x:v>
      </x:c>
      <x:c r="B30" s="16" t="str">
        <x:v>User list</x:v>
      </x:c>
      <x:c r="C30" s="16" t="str">
        <x:v>B — worth a quote</x:v>
      </x:c>
      <x:c r="D30" s="16" t="str">
        <x:v>Italy</x:v>
      </x:c>
      <x:c r="E30" s="16" t="str">
        <x:v>Tuscany</x:v>
      </x:c>
      <x:c r="F30" s="16" t="n">
        <x:v>100</x:v>
      </x:c>
      <x:c r="G30" s="16" t="str">
        <x:v>Up to 150</x:v>
      </x:c>
      <x:c r="H30" s="16" t="n">
        <x:v>30</x:v>
      </x:c>
      <x:c r="I30" s="16" t="str">
        <x:v>Event-night exclusive rental appears possible; previous-night stay/dinner can be arranged</x:v>
      </x:c>
      <x:c r="J30" s="16" t="str">
        <x:v>One event per day; review evidence describes event-night exclusive use with rooms, but 2-3 day terms are quote-only</x:v>
      </x:c>
      <x:c r="K30" s="61" t="n">
        <x:v>81000</x:v>
      </x:c>
      <x:c r="L30" s="61" t="n">
        <x:v>99000</x:v>
      </x:c>
      <x:c r="M30" s="61" t="n">
        <x:v>119000</x:v>
      </x:c>
      <x:c r="N30" s="61" t="n">
        <x:v>99000</x:v>
      </x:c>
      <x:c r="O30" s="16" t="str">
        <x:v>Likely under $100k</x:v>
      </x:c>
      <x:c r="P30" s="16" t="str">
        <x:v>low</x:v>
      </x:c>
      <x:c r="Q30" s="16" t="str">
        <x:v>Current directory lists hire from EUR 1,000 and up to 150 guests</x:v>
      </x:c>
      <x:c r="R30" s="16" t="str">
        <x:v>Financially promising and rustic, but only about 30 onsite beds; workable under $120k if hotel/shuttle logistics quote well. — The low venue fee is real but covers little of the Ristonchi scope.</x:v>
      </x:c>
    </x:row>
    <x:row r="31">
      <x:c r="A31" s="16" t="str">
        <x:v>Relais Sant'Agostino</x:v>
      </x:c>
      <x:c r="B31" s="16" t="str">
        <x:v>User list</x:v>
      </x:c>
      <x:c r="C31" s="16" t="str">
        <x:v>B — worth a quote</x:v>
      </x:c>
      <x:c r="D31" s="16" t="str">
        <x:v>Italy</x:v>
      </x:c>
      <x:c r="E31" s="16" t="str">
        <x:v>Puglia - Andria</x:v>
      </x:c>
      <x:c r="F31" s="16" t="n">
        <x:v>100</x:v>
      </x:c>
      <x:c r="G31" s="16" t="n">
        <x:v>400</x:v>
      </x:c>
      <x:c r="H31" s="16" t="n">
        <x:v>0</x:v>
      </x:c>
      <x:c r="I31" s="16" t="str">
        <x:v>One-day reception; no residential weekend package</x:v>
      </x:c>
      <x:c r="J31" s="16" t="str">
        <x:v>One event per day, not a lodging buyout</x:v>
      </x:c>
      <x:c r="K31" s="61" t="n">
        <x:v>58000</x:v>
      </x:c>
      <x:c r="L31" s="61" t="n">
        <x:v>73000</x:v>
      </x:c>
      <x:c r="M31" s="61" t="n">
        <x:v>87000</x:v>
      </x:c>
      <x:c r="N31" s="61" t="n">
        <x:v>90000</x:v>
      </x:c>
      <x:c r="O31" s="16" t="str">
        <x:v>Likely under $100k</x:v>
      </x:c>
      <x:c r="P31" s="16" t="str">
        <x:v>Low</x:v>
      </x:c>
      <x:c r="Q31" s="16" t="str">
        <x:v>Quote-only; current listing confirms capacity and service categories but no menu price</x:v>
      </x:c>
      <x:c r="R31" s="16" t="str">
        <x:v>Likely under USD 100k core, but weak weekend fit and host-paid rooms could push toward USD 108k — The current listing contradicts itself on venue-only rental versus mandatory catering. Require itemized confirmation.</x:v>
      </x:c>
    </x:row>
    <x:row r="32">
      <x:c r="A32" s="16" t="str">
        <x:v>Tenuta Capotenda</x:v>
      </x:c>
      <x:c r="B32" s="16" t="str">
        <x:v>User list</x:v>
      </x:c>
      <x:c r="C32" s="16" t="str">
        <x:v>B — worth a quote</x:v>
      </x:c>
      <x:c r="D32" s="16" t="str">
        <x:v>Italy</x:v>
      </x:c>
      <x:c r="E32" s="16" t="str">
        <x:v>Puglia - Gravina in Puglia</x:v>
      </x:c>
      <x:c r="F32" s="16" t="n">
        <x:v>100</x:v>
      </x:c>
      <x:c r="G32" s="16" t="str"/>
      <x:c r="H32" s="16" t="str"/>
      <x:c r="I32" s="16" t="str">
        <x:v>Unknown</x:v>
      </x:c>
      <x:c r="J32" s="16" t="str">
        <x:v>Unknown</x:v>
      </x:c>
      <x:c r="K32" s="61" t="str"/>
      <x:c r="L32" s="61" t="str"/>
      <x:c r="M32" s="61" t="str"/>
      <x:c r="N32" s="61" t="str"/>
      <x:c r="O32" s="16" t="str">
        <x:v>Quote required</x:v>
      </x:c>
      <x:c r="P32" s="16" t="str">
        <x:v>Very low</x:v>
      </x:c>
      <x:c r="Q32" s="16" t="str">
        <x:v>No current wedding package or price published; official website is a placeholder</x:v>
      </x:c>
      <x:c r="R32" s="16" t="str">
        <x:v>Unrated; do not shortlist without a complete 2027/28 quote — A cluster of July 2026 user reviews alleges service problems and separately hired entertainment; these are unverified reports, not contract terms, but warrant enhanced due diligence.</x:v>
      </x:c>
    </x:row>
    <x:row r="33">
      <x:c r="A33" s="16" t="str">
        <x:v>Tenuta di Rota</x:v>
      </x:c>
      <x:c r="B33" s="16" t="str">
        <x:v>User workbook</x:v>
      </x:c>
      <x:c r="C33" s="16" t="str">
        <x:v>B — worth a quote</x:v>
      </x:c>
      <x:c r="D33" s="16" t="str">
        <x:v>Italy</x:v>
      </x:c>
      <x:c r="E33" s="16" t="str">
        <x:v>Reggello, Tuscany</x:v>
      </x:c>
      <x:c r="F33" s="16" t="n">
        <x:v>100</x:v>
      </x:c>
      <x:c r="G33" s="16" t="str">
        <x:v>100 only if the venue approves a marquee; official/marketplace materials otherwise indicate 50-60</x:v>
      </x:c>
      <x:c r="H33" s="16" t="str">
        <x:v>About 70 across Palagio and 12 estate apartments; additional villas may bring the campus near 100 at extra cost</x:v>
      </x:c>
      <x:c r="I33" s="16" t="str">
        <x:v>Multi-night estate stay possible</x:v>
      </x:c>
      <x:c r="J33" s="16" t="str">
        <x:v>Potential estate buyout; confirm exclusivity</x:v>
      </x:c>
      <x:c r="K33" s="61" t="n">
        <x:v>85000</x:v>
      </x:c>
      <x:c r="L33" s="61" t="n">
        <x:v>104000</x:v>
      </x:c>
      <x:c r="M33" s="61" t="n">
        <x:v>125000</x:v>
      </x:c>
      <x:c r="N33" s="61" t="n">
        <x:v>116000</x:v>
      </x:c>
      <x:c r="O33" s="16" t="str">
        <x:v>$100k–$120k</x:v>
      </x:c>
      <x:c r="P33" s="16" t="str">
        <x:v>Medium; capacity and stay-length conflicts</x:v>
      </x:c>
      <x:c r="Q33" s="16" t="str">
        <x:v>2026 three-night Palagio anchor EUR 14,600 for 16, including breakfast, daily cleaning, wedding-day shuttle and planner; other lodging, catering and marquee extra</x:v>
      </x:c>
      <x:c r="R33" s="16" t="str">
        <x:v>Promising Ristonchi-style campus only if 100-person capacity and full estate pricing are confirmed — Ask for one property map and rooming list covering all four farmhouses.</x:v>
      </x:c>
    </x:row>
    <x:row r="34">
      <x:c r="A34" s="16" t="str">
        <x:v>Tenute Maci</x:v>
      </x:c>
      <x:c r="B34" s="16" t="str">
        <x:v>User list</x:v>
      </x:c>
      <x:c r="C34" s="16" t="str">
        <x:v>B — worth a quote</x:v>
      </x:c>
      <x:c r="D34" s="16" t="str">
        <x:v>Italy</x:v>
      </x:c>
      <x:c r="E34" s="16" t="str">
        <x:v>Puglia - Cellino San Marco, Brindisi</x:v>
      </x:c>
      <x:c r="F34" s="16" t="n">
        <x:v>100</x:v>
      </x:c>
      <x:c r="G34" s="16" t="str">
        <x:v>150 outdoors; 180 indoors</x:v>
      </x:c>
      <x:c r="H34" s="16" t="n">
        <x:v>0</x:v>
      </x:c>
      <x:c r="I34" s="16" t="str">
        <x:v>One-day reception; weekend accommodation and other events must be arranged separately</x:v>
      </x:c>
      <x:c r="J34" s="16" t="str">
        <x:v>One event per day, but not a residential estate buyout</x:v>
      </x:c>
      <x:c r="K34" s="61" t="n">
        <x:v>55000</x:v>
      </x:c>
      <x:c r="L34" s="61" t="n">
        <x:v>67000</x:v>
      </x:c>
      <x:c r="M34" s="61" t="n">
        <x:v>78000</x:v>
      </x:c>
      <x:c r="N34" s="61" t="n">
        <x:v>85000</x:v>
      </x:c>
      <x:c r="O34" s="16" t="str">
        <x:v>Likely under $100k</x:v>
      </x:c>
      <x:c r="P34" s="16" t="str">
        <x:v>Low-medium</x:v>
      </x:c>
      <x:c r="Q34" s="16" t="str">
        <x:v>Wedding menus EUR 80-EUR 100 per person</x:v>
      </x:c>
      <x:c r="R34" s="16" t="str">
        <x:v>Likely under USD 100k, but it is not a Ristonchi-like weekend and requires substantial separate coordination — Current listings conflict on whether external catering is permitted; obtain a written policy and fully loaded quote.</x:v>
      </x:c>
    </x:row>
    <x:row r="35">
      <x:c r="A35" s="16" t="str">
        <x:v>The Arnold House</x:v>
      </x:c>
      <x:c r="B35" s="16" t="str">
        <x:v>Added lead</x:v>
      </x:c>
      <x:c r="C35" s="16" t="str">
        <x:v>B — worth a quote</x:v>
      </x:c>
      <x:c r="D35" s="16" t="str">
        <x:v>United States</x:v>
      </x:c>
      <x:c r="E35" s="16" t="str">
        <x:v>New York - Livingston Manor, Catskills</x:v>
      </x:c>
      <x:c r="F35" s="16" t="n">
        <x:v>150</x:v>
      </x:c>
      <x:c r="G35" s="16" t="n">
        <x:v>200</x:v>
      </x:c>
      <x:c r="H35" s="16" t="str"/>
      <x:c r="I35" s="16" t="str">
        <x:v>Friday welcome-Sunday brunch weekender</x:v>
      </x:c>
      <x:c r="J35" s="16" t="str">
        <x:v>Entire inn rentable; exact event/lodging exclusivity proposal-only</x:v>
      </x:c>
      <x:c r="K35" s="61" t="n">
        <x:v>95000</x:v>
      </x:c>
      <x:c r="L35" s="61" t="n">
        <x:v>110000</x:v>
      </x:c>
      <x:c r="M35" s="61" t="n">
        <x:v>125000</x:v>
      </x:c>
      <x:c r="N35" s="61" t="n">
        <x:v>155000</x:v>
      </x:c>
      <x:c r="O35" s="16" t="str">
        <x:v>Over $120k</x:v>
      </x:c>
      <x:c r="P35" s="16" t="str">
        <x:v>High base; medium total</x:v>
      </x:c>
      <x:c r="Q35" s="16" t="str">
        <x:v>2027 summer/fall site USD 18,000+; F&amp;B min USD 40,000+; reception USD 170 pp incl 3-hour bar</x:v>
      </x:c>
      <x:c r="R35" s="16" t="str">
        <x:v>Excellent inn/weekend fit; under USD 100k only favorable end — At least USD 58k site+minimum before fees/lodging.</x:v>
      </x:c>
    </x:row>
    <x:row r="36">
      <x:c r="A36" s="16" t="str">
        <x:v>The Mansion at Oyster Bay</x:v>
      </x:c>
      <x:c r="B36" s="16" t="str">
        <x:v>User list</x:v>
      </x:c>
      <x:c r="C36" s="16" t="str">
        <x:v>B — worth a quote</x:v>
      </x:c>
      <x:c r="D36" s="16" t="str">
        <x:v>United States</x:v>
      </x:c>
      <x:c r="E36" s="16" t="str">
        <x:v>New York - Woodbury, Long Island</x:v>
      </x:c>
      <x:c r="F36" s="16" t="n">
        <x:v>150</x:v>
      </x:c>
      <x:c r="G36" s="16" t="str">
        <x:v>150 fits</x:v>
      </x:c>
      <x:c r="H36" s="16" t="n">
        <x:v>0</x:v>
      </x:c>
      <x:c r="I36" s="16" t="str">
        <x:v>One-day event</x:v>
      </x:c>
      <x:c r="J36" s="16" t="str">
        <x:v>Private mansion space, not residential</x:v>
      </x:c>
      <x:c r="K36" s="61" t="n">
        <x:v>60000</x:v>
      </x:c>
      <x:c r="L36" s="61" t="n">
        <x:v>78000</x:v>
      </x:c>
      <x:c r="M36" s="61" t="n">
        <x:v>95000</x:v>
      </x:c>
      <x:c r="N36" s="61" t="n">
        <x:v>123000</x:v>
      </x:c>
      <x:c r="O36" s="16" t="str">
        <x:v>Over $120k</x:v>
      </x:c>
      <x:c r="P36" s="16" t="str">
        <x:v>Medium</x:v>
      </x:c>
      <x:c r="Q36" s="16" t="str">
        <x:v>Quote-only; Knot average estimate USD 26,493, not a 150-person quote</x:v>
      </x:c>
      <x:c r="R36" s="16" t="str">
        <x:v>Likely under USD 100k; weaker rustic-weekend fit — Gold Coast mansion/golf atmosphere.</x:v>
      </x:c>
    </x:row>
    <x:row r="37">
      <x:c r="A37" s="16" t="str">
        <x:v>Unionville Vineyards</x:v>
      </x:c>
      <x:c r="B37" s="16" t="str">
        <x:v>User list</x:v>
      </x:c>
      <x:c r="C37" s="16" t="str">
        <x:v>B — worth a quote</x:v>
      </x:c>
      <x:c r="D37" s="16" t="str">
        <x:v>United States</x:v>
      </x:c>
      <x:c r="E37" s="16" t="str">
        <x:v>New Jersey - Ringoes</x:v>
      </x:c>
      <x:c r="F37" s="16" t="n">
        <x:v>150</x:v>
      </x:c>
      <x:c r="G37" s="16" t="n">
        <x:v>170</x:v>
      </x:c>
      <x:c r="H37" s="16" t="n">
        <x:v>0</x:v>
      </x:c>
      <x:c r="I37" s="16" t="str">
        <x:v>One-day event</x:v>
      </x:c>
      <x:c r="J37" s="16" t="str">
        <x:v>Designated winery spaces; no residential buyout</x:v>
      </x:c>
      <x:c r="K37" s="61" t="n">
        <x:v>70000</x:v>
      </x:c>
      <x:c r="L37" s="61" t="n">
        <x:v>87000</x:v>
      </x:c>
      <x:c r="M37" s="61" t="n">
        <x:v>105000</x:v>
      </x:c>
      <x:c r="N37" s="61" t="n">
        <x:v>132000</x:v>
      </x:c>
      <x:c r="O37" s="16" t="str">
        <x:v>Over $120k</x:v>
      </x:c>
      <x:c r="P37" s="16" t="str">
        <x:v>Low</x:v>
      </x:c>
      <x:c r="Q37" s="16" t="str">
        <x:v>Quote-only; one case Unionville wine per 30 adults</x:v>
      </x:c>
      <x:c r="R37" s="16" t="str">
        <x:v>Could fit under USD 100k; weak weekend fit — Need caterer, duration, wine/liquor and fee detail.</x:v>
      </x:c>
    </x:row>
    <x:row r="38">
      <x:c r="A38" s="16" t="str">
        <x:v>Valenzano Winery / Vineyard Estates</x:v>
      </x:c>
      <x:c r="B38" s="16" t="str">
        <x:v>User list</x:v>
      </x:c>
      <x:c r="C38" s="16" t="str">
        <x:v>B — worth a quote</x:v>
      </x:c>
      <x:c r="D38" s="16" t="str">
        <x:v>United States</x:v>
      </x:c>
      <x:c r="E38" s="16" t="str">
        <x:v>New Jersey - Shamong</x:v>
      </x:c>
      <x:c r="F38" s="16" t="n">
        <x:v>150</x:v>
      </x:c>
      <x:c r="G38" s="16" t="str">
        <x:v>Ballroom 200; Pavilion seats 150</x:v>
      </x:c>
      <x:c r="H38" s="16" t="n">
        <x:v>0</x:v>
      </x:c>
      <x:c r="I38" s="16" t="str">
        <x:v>Pavilion: five-hour reception plus 30-minute ceremony</x:v>
      </x:c>
      <x:c r="J38" s="16" t="str">
        <x:v>Private event space, no residential buyout</x:v>
      </x:c>
      <x:c r="K38" s="61" t="n">
        <x:v>65000</x:v>
      </x:c>
      <x:c r="L38" s="61" t="n">
        <x:v>82000</x:v>
      </x:c>
      <x:c r="M38" s="61" t="n">
        <x:v>100000</x:v>
      </x:c>
      <x:c r="N38" s="61" t="n">
        <x:v>127000</x:v>
      </x:c>
      <x:c r="O38" s="16" t="str">
        <x:v>Over $120k</x:v>
      </x:c>
      <x:c r="P38" s="16" t="str">
        <x:v>Low</x:v>
      </x:c>
      <x:c r="Q38" s="16" t="str">
        <x:v>2026/2027 packages quote-only</x:v>
      </x:c>
      <x:c r="R38" s="16" t="str">
        <x:v>Potentially under USD 100k; worth Pavilion quote — 2028 package not announced.</x:v>
      </x:c>
    </x:row>
    <x:row r="39">
      <x:c r="A39" s="16" t="str">
        <x:v>Villa Barone Hilltop Manor</x:v>
      </x:c>
      <x:c r="B39" s="16" t="str">
        <x:v>User list</x:v>
      </x:c>
      <x:c r="C39" s="16" t="str">
        <x:v>B — worth a quote</x:v>
      </x:c>
      <x:c r="D39" s="16" t="str">
        <x:v>United States</x:v>
      </x:c>
      <x:c r="E39" s="16" t="str">
        <x:v>New York - Mahopac</x:v>
      </x:c>
      <x:c r="F39" s="16" t="n">
        <x:v>150</x:v>
      </x:c>
      <x:c r="G39" s="16" t="n">
        <x:v>550</x:v>
      </x:c>
      <x:c r="H39" s="16" t="n">
        <x:v>0</x:v>
      </x:c>
      <x:c r="I39" s="16" t="str">
        <x:v>One-day banquet</x:v>
      </x:c>
      <x:c r="J39" s="16" t="str">
        <x:v>Private ballroom, not residential</x:v>
      </x:c>
      <x:c r="K39" s="61" t="n">
        <x:v>60000</x:v>
      </x:c>
      <x:c r="L39" s="61" t="n">
        <x:v>78000</x:v>
      </x:c>
      <x:c r="M39" s="61" t="n">
        <x:v>95000</x:v>
      </x:c>
      <x:c r="N39" s="61" t="n">
        <x:v>123000</x:v>
      </x:c>
      <x:c r="O39" s="16" t="str">
        <x:v>Over $120k</x:v>
      </x:c>
      <x:c r="P39" s="16" t="str">
        <x:v>Low</x:v>
      </x:c>
      <x:c r="Q39" s="16" t="str">
        <x:v>Marketplace starts USD 10,000; no usable 150-person sheet</x:v>
      </x:c>
      <x:c r="R39" s="16" t="str">
        <x:v>Likely budget-compatible but weak woods/inn fit — Traditional large banquet venue.</x:v>
      </x:c>
    </x:row>
    <x:row r="40">
      <x:c r="A40" s="16" t="str">
        <x:v>Villa LeMura</x:v>
      </x:c>
      <x:c r="B40" s="16" t="str">
        <x:v>User list</x:v>
      </x:c>
      <x:c r="C40" s="16" t="str">
        <x:v>B — worth a quote</x:v>
      </x:c>
      <x:c r="D40" s="16" t="str">
        <x:v>Italy</x:v>
      </x:c>
      <x:c r="E40" s="16" t="str">
        <x:v>Umbria</x:v>
      </x:c>
      <x:c r="F40" s="16" t="n">
        <x:v>100</x:v>
      </x:c>
      <x:c r="G40" s="16" t="str">
        <x:v>Official event capacity not published; large and small weddings claimed, so 100 and rain plan require written confirmation</x:v>
      </x:c>
      <x:c r="H40" s="16" t="n">
        <x:v>20</x:v>
      </x:c>
      <x:c r="I40" s="16" t="str">
        <x:v>Minimum 4 days for weddings</x:v>
      </x:c>
      <x:c r="J40" s="16" t="str">
        <x:v>Exclusive private hire</x:v>
      </x:c>
      <x:c r="K40" s="61" t="n">
        <x:v>90000</x:v>
      </x:c>
      <x:c r="L40" s="61" t="n">
        <x:v>114000</x:v>
      </x:c>
      <x:c r="M40" s="61" t="n">
        <x:v>136000</x:v>
      </x:c>
      <x:c r="N40" s="61" t="n">
        <x:v>114000</x:v>
      </x:c>
      <x:c r="O40" s="16" t="str">
        <x:v>$100k–$120k</x:v>
      </x:c>
      <x:c r="P40" s="16" t="str">
        <x:v>low</x:v>
      </x:c>
      <x:c r="Q40" s="16" t="str">
        <x:v>No public 2027/2028 wedding rate</x:v>
      </x:c>
      <x:c r="R40" s="16" t="str">
        <x:v>Possible only at the lean end and a weak all-together-weekend fit because onsite lodging covers at most 20. — Beautiful house-party aesthetic, but no public price, capacity or curfew.</x:v>
      </x:c>
    </x:row>
    <x:row r="41">
      <x:c r="A41" s="16" t="str">
        <x:v>Villa Lena Puglia</x:v>
      </x:c>
      <x:c r="B41" s="16" t="str">
        <x:v>User workbook</x:v>
      </x:c>
      <x:c r="C41" s="16" t="str">
        <x:v>B — worth a quote</x:v>
      </x:c>
      <x:c r="D41" s="16" t="str">
        <x:v>Italy</x:v>
      </x:c>
      <x:c r="E41" s="16" t="str">
        <x:v>Puglia</x:v>
      </x:c>
      <x:c r="F41" s="16" t="n">
        <x:v>100</x:v>
      </x:c>
      <x:c r="G41" s="16" t="n">
        <x:v>150</x:v>
      </x:c>
      <x:c r="H41" s="16" t="str">
        <x:v>7 suites / official 14-18, with some listings stating 20</x:v>
      </x:c>
      <x:c r="I41" s="16" t="str">
        <x:v>Seasonal minimum-night stay</x:v>
      </x:c>
      <x:c r="J41" s="16" t="str">
        <x:v>Exclusive villa</x:v>
      </x:c>
      <x:c r="K41" s="61" t="n">
        <x:v>80000</x:v>
      </x:c>
      <x:c r="L41" s="61" t="n">
        <x:v>100000</x:v>
      </x:c>
      <x:c r="M41" s="61" t="n">
        <x:v>128000</x:v>
      </x:c>
      <x:c r="N41" s="61" t="n">
        <x:v>124000</x:v>
      </x:c>
      <x:c r="O41" s="16" t="str">
        <x:v>Over $120k</x:v>
      </x:c>
      <x:c r="P41" s="16" t="str">
        <x:v>Medium on capacity/beds; low on price</x:v>
      </x:c>
      <x:c r="Q41" s="16" t="str">
        <x:v>Published 2026 rental bands vary roughly EUR 9,700-EUR 22,640 across May-September, but the duration/unit is unclear; obtain the actual minimum-stay quote</x:v>
      </x:c>
      <x:c r="R41" s="16" t="str">
        <x:v>Capacity works, but residential-weekend fit is weak unless nearby lodging is excellent — Strong aesthetic/value conditional; do not rely on the published rental bands until their time basis, rain plan and minimum stay are confirmed.</x:v>
      </x:c>
    </x:row>
    <x:row r="42">
      <x:c r="A42" s="16" t="str">
        <x:v>Villa Mocale</x:v>
      </x:c>
      <x:c r="B42" s="16" t="str">
        <x:v>User list</x:v>
      </x:c>
      <x:c r="C42" s="16" t="str">
        <x:v>B — worth a quote</x:v>
      </x:c>
      <x:c r="D42" s="16" t="str">
        <x:v>Italy</x:v>
      </x:c>
      <x:c r="E42" s="16" t="str">
        <x:v>Tuscany</x:v>
      </x:c>
      <x:c r="F42" s="16" t="n">
        <x:v>100</x:v>
      </x:c>
      <x:c r="G42" s="16" t="str">
        <x:v>50-200 listed; indoor halls seat about 130 and 180</x:v>
      </x:c>
      <x:c r="H42" s="16" t="n">
        <x:v>0</x:v>
      </x:c>
      <x:c r="I42" s="16" t="str">
        <x:v>Primarily one-day reception; no residential weekend package published</x:v>
      </x:c>
      <x:c r="J42" s="16" t="str">
        <x:v>One event per day, but no lodging buyout</x:v>
      </x:c>
      <x:c r="K42" s="61" t="n">
        <x:v>79000</x:v>
      </x:c>
      <x:c r="L42" s="61" t="n">
        <x:v>103000</x:v>
      </x:c>
      <x:c r="M42" s="61" t="n">
        <x:v>126000</x:v>
      </x:c>
      <x:c r="N42" s="61" t="n">
        <x:v>103000</x:v>
      </x:c>
      <x:c r="O42" s="16" t="str">
        <x:v>$100k–$120k</x:v>
      </x:c>
      <x:c r="P42" s="16" t="str">
        <x:v>low</x:v>
      </x:c>
      <x:c r="Q42" s="16" t="str">
        <x:v>Current directory lists venue hire from EUR 2,000; updated March 2026</x:v>
      </x:c>
      <x:c r="R42" s="16" t="str">
        <x:v>Potential budget fit, but weak match to the desired all-together weekend because all lodging and most multi-day logistics are external. — Treat the EUR 2,000 listing as venue rent only, not a wedding cost.</x:v>
      </x:c>
    </x:row>
    <x:row r="43">
      <x:c r="A43" s="16" t="str">
        <x:v>Villa Sermolli</x:v>
      </x:c>
      <x:c r="B43" s="16" t="str">
        <x:v>Added lead</x:v>
      </x:c>
      <x:c r="C43" s="16" t="str">
        <x:v>B — worth a quote</x:v>
      </x:c>
      <x:c r="D43" s="16" t="str">
        <x:v>Italy</x:v>
      </x:c>
      <x:c r="E43" s="16" t="str">
        <x:v>Tuscany</x:v>
      </x:c>
      <x:c r="F43" s="16" t="n">
        <x:v>100</x:v>
      </x:c>
      <x:c r="G43" s="16" t="str">
        <x:v>Up to 130 with tent; built-in Limonaia seats 86</x:v>
      </x:c>
      <x:c r="H43" s="16" t="n">
        <x:v>80</x:v>
      </x:c>
      <x:c r="I43" s="16" t="str">
        <x:v>2-night exclusive weekend minimum</x:v>
      </x:c>
      <x:c r="J43" s="16" t="str">
        <x:v>Exclusive villa, rooms, apartments, gardens, terraces and event spaces</x:v>
      </x:c>
      <x:c r="K43" s="61" t="n">
        <x:v>90000</x:v>
      </x:c>
      <x:c r="L43" s="61" t="n">
        <x:v>109000</x:v>
      </x:c>
      <x:c r="M43" s="61" t="n">
        <x:v>134000</x:v>
      </x:c>
      <x:c r="N43" s="61" t="n">
        <x:v>109000</x:v>
      </x:c>
      <x:c r="O43" s="16" t="str">
        <x:v>$100k–$120k</x:v>
      </x:c>
      <x:c r="P43" s="16" t="str">
        <x:v>medium</x:v>
      </x:c>
      <x:c r="Q43" s="16" t="str">
        <x:v>From 2027 high-season two-night exclusive hire EUR 18,000 plus published 100-person wedding menu/drink floors of EUR 10,000 and EUR 7,000</x:v>
      </x:c>
      <x:c r="R43" s="16" t="str">
        <x:v>Strong vibe and plausible under $120k if the tent/weather plan and extra events quote favorably; preferred-budget outcome needs a lean design. — Excellent inn/house-party feeling and civil ceremony onsite; ask for a 100-person tented rain-plan price.</x:v>
      </x:c>
    </x:row>
    <x:row r="44">
      <x:c r="A44" s="16" t="str">
        <x:v>Castello di Ristonchi</x:v>
      </x:c>
      <x:c r="B44" s="16" t="str">
        <x:v>User workbook</x:v>
      </x:c>
      <x:c r="C44" s="16" t="str">
        <x:v>C — hold / reconcile quote</x:v>
      </x:c>
      <x:c r="D44" s="16" t="str">
        <x:v>Italy</x:v>
      </x:c>
      <x:c r="E44" s="16" t="str">
        <x:v>Tuscany</x:v>
      </x:c>
      <x:c r="F44" s="16" t="n">
        <x:v>100</x:v>
      </x:c>
      <x:c r="G44" s="16" t="str">
        <x:v>100 in Premium package; outdoor dinner up to 125, indoor wet-weather dinner about 80 unless the included Premium tent is used</x:v>
      </x:c>
      <x:c r="H44" s="16" t="n">
        <x:v>100</x:v>
      </x:c>
      <x:c r="I44" s="16" t="str">
        <x:v>3 nights</x:v>
      </x:c>
      <x:c r="J44" s="16" t="str">
        <x:v>Full exclusive property buyout</x:v>
      </x:c>
      <x:c r="K44" s="61" t="n">
        <x:v>221000</x:v>
      </x:c>
      <x:c r="L44" s="61" t="n">
        <x:v>232000</x:v>
      </x:c>
      <x:c r="M44" s="61" t="n">
        <x:v>244000</x:v>
      </x:c>
      <x:c r="N44" s="61" t="n">
        <x:v>232000</x:v>
      </x:c>
      <x:c r="O44" s="16" t="str">
        <x:v>Over $120k</x:v>
      </x:c>
      <x:c r="P44" s="16" t="str">
        <x:v>high</x:v>
      </x:c>
      <x:c r="Q44" s="16" t="str">
        <x:v>2027 Easy With Everything Premium package for up to 100</x:v>
      </x:c>
      <x:c r="R44" s="16" t="str">
        <x:v>Official 100-person package is over cap; private working quote would land around $120,500 after the current photo/HMU allowances and must be authenticated. — Public 2027 Premium remains EUR 185,500 for 100. The couple's workbook separately records an approximately $108,000 working quote for Sept. 17-20, 2027 with all 100 beds, Florence transfers, events, activities, F&amp;B and entertainment. Reconcile currency, version, taxes and scope at the scheduled 9/4 meeting.</x:v>
      </x:c>
    </x:row>
    <x:row r="45">
      <x:c r="A45" s="16" t="str">
        <x:v>Blenheim Hill Farm</x:v>
      </x:c>
      <x:c r="B45" s="16" t="str">
        <x:v>Added lead</x:v>
      </x:c>
      <x:c r="C45" s="16" t="str">
        <x:v>C — watch / budget risk</x:v>
      </x:c>
      <x:c r="D45" s="16" t="str">
        <x:v>United States</x:v>
      </x:c>
      <x:c r="E45" s="16" t="str">
        <x:v>New York - Jefferson, Catskills</x:v>
      </x:c>
      <x:c r="F45" s="16" t="n">
        <x:v>150</x:v>
      </x:c>
      <x:c r="G45" s="16" t="n">
        <x:v>225</x:v>
      </x:c>
      <x:c r="H45" s="16" t="n">
        <x:v>40</x:v>
      </x:c>
      <x:c r="I45" s="16" t="str">
        <x:v>Exclusive full weekend</x:v>
      </x:c>
      <x:c r="J45" s="16" t="str">
        <x:v>Exclusive 300-acre farm</x:v>
      </x:c>
      <x:c r="K45" s="61" t="n">
        <x:v>75000</x:v>
      </x:c>
      <x:c r="L45" s="61" t="n">
        <x:v>88000</x:v>
      </x:c>
      <x:c r="M45" s="61" t="n">
        <x:v>100000</x:v>
      </x:c>
      <x:c r="N45" s="61" t="n">
        <x:v>132000</x:v>
      </x:c>
      <x:c r="O45" s="16" t="str">
        <x:v>Over $120k</x:v>
      </x:c>
      <x:c r="P45" s="16" t="str">
        <x:v>High</x:v>
      </x:c>
      <x:c r="Q45" s="16" t="str">
        <x:v>Promoted site USD 15,500; food USD 96+ pp; five-hour bar USD 48+; ~8% tax; no staffing/service surcharge</x:v>
      </x:c>
      <x:c r="R45" s="16" t="str">
        <x:v>Over the hard cap when the couple funds overflow lodging — The approximately $83k guest-paid-room fallback is not the preferred plan. The formula model adds a $45k overflow-room allowance plus contingency, producing approximately $131,575 when the couple hosts accommodations.</x:v>
      </x:c>
    </x:row>
    <x:row r="46">
      <x:c r="A46" s="16" t="str">
        <x:v>Borgo di Pietrafitta</x:v>
      </x:c>
      <x:c r="B46" s="16" t="str">
        <x:v>Added lead</x:v>
      </x:c>
      <x:c r="C46" s="16" t="str">
        <x:v>C — watch / budget risk</x:v>
      </x:c>
      <x:c r="D46" s="16" t="str">
        <x:v>Italy</x:v>
      </x:c>
      <x:c r="E46" s="16" t="str">
        <x:v>Tuscany</x:v>
      </x:c>
      <x:c r="F46" s="16" t="n">
        <x:v>100</x:v>
      </x:c>
      <x:c r="G46" s="16" t="str">
        <x:v>Official brochure outdoor spaces 90; La Lista says maximum 100. Built-in indoor wet plan seats only 50</x:v>
      </x:c>
      <x:c r="H46" s="16" t="n">
        <x:v>65</x:v>
      </x:c>
      <x:c r="I46" s="16" t="str">
        <x:v>3-night minimum; 7 nights mid-July to mid-August</x:v>
      </x:c>
      <x:c r="J46" s="16" t="str">
        <x:v>Exclusive Borgo</x:v>
      </x:c>
      <x:c r="K46" s="61" t="n">
        <x:v>108000</x:v>
      </x:c>
      <x:c r="L46" s="61" t="n">
        <x:v>130000</x:v>
      </x:c>
      <x:c r="M46" s="61" t="n">
        <x:v>154000</x:v>
      </x:c>
      <x:c r="N46" s="61" t="n">
        <x:v>130000</x:v>
      </x:c>
      <x:c r="O46" s="16" t="str">
        <x:v>Over $120k</x:v>
      </x:c>
      <x:c r="P46" s="16" t="str">
        <x:v>medium on rental; low on total</x:v>
      </x:c>
      <x:c r="Q46" s="16" t="str">
        <x:v>Official 2027 three-night exclusive-use offer EUR 26,500 VAT included</x:v>
      </x:c>
      <x:c r="R46" s="16" t="str">
        <x:v>Rental value is excellent, but 100 exceeds the official brochure's 90-person outdoor layouts and the rain plan is only 50; likely over cap after full production. — Ask the venue to reconcile official brochure capacity 90 with La Lista maximum 100 before considering.</x:v>
      </x:c>
    </x:row>
    <x:row r="47">
      <x:c r="A47" s="16" t="str">
        <x:v>Candlelight Farms Inn</x:v>
      </x:c>
      <x:c r="B47" s="16" t="str">
        <x:v>User workbook</x:v>
      </x:c>
      <x:c r="C47" s="16" t="str">
        <x:v>C — watch / budget risk</x:v>
      </x:c>
      <x:c r="D47" s="16" t="str">
        <x:v>United States</x:v>
      </x:c>
      <x:c r="E47" s="16" t="str">
        <x:v>New Milford, Connecticut</x:v>
      </x:c>
      <x:c r="F47" s="16" t="n">
        <x:v>150</x:v>
      </x:c>
      <x:c r="G47" s="16" t="str">
        <x:v>At least 150; $10/person overage above 150</x:v>
      </x:c>
      <x:c r="H47" s="16" t="str">
        <x:v>Five inn rooms; exact occupancy needs a rooming list</x:v>
      </x:c>
      <x:c r="I47" s="16" t="str">
        <x:v>One-day user quote or official Friday 4pm-Sunday noon weekend package</x:v>
      </x:c>
      <x:c r="J47" s="16" t="str">
        <x:v>Weekend package includes farm event spaces and rooms; exclusivity against another same-day event must be written</x:v>
      </x:c>
      <x:c r="K47" s="61" t="n">
        <x:v>90000</x:v>
      </x:c>
      <x:c r="L47" s="61" t="n">
        <x:v>121000</x:v>
      </x:c>
      <x:c r="M47" s="61" t="n">
        <x:v>150000</x:v>
      </x:c>
      <x:c r="N47" s="61" t="n">
        <x:v>165000</x:v>
      </x:c>
      <x:c r="O47" s="16" t="str">
        <x:v>Over $120k</x:v>
      </x:c>
      <x:c r="P47" s="16" t="str">
        <x:v>Medium-high on rules; medium on total</x:v>
      </x:c>
      <x:c r="Q47" s="16" t="str">
        <x:v>User one-day quote: $10,000. Current official Exclusive Farm Wedding Weekend: $20,000 + 15% service; Hangar +$7,500; outside vendors/infrastructure extra</x:v>
      </x:c>
      <x:c r="R47" s="16" t="str">
        <x:v>Near-hard fail on curfew and afterparty even before scope-adjusted price — The $10,000 workbook figure is a one-day package, not a weekend buyout. Hard 10:30pm music/bar stop and 11pm departure remain the decisive issue.</x:v>
      </x:c>
    </x:row>
    <x:row r="48">
      <x:c r="A48" s="16" t="str">
        <x:v>Casa Cornacchi</x:v>
      </x:c>
      <x:c r="B48" s="16" t="str">
        <x:v>Added lead</x:v>
      </x:c>
      <x:c r="C48" s="16" t="str">
        <x:v>C — watch / budget risk</x:v>
      </x:c>
      <x:c r="D48" s="16" t="str">
        <x:v>Italy</x:v>
      </x:c>
      <x:c r="E48" s="16" t="str">
        <x:v>Tuscany</x:v>
      </x:c>
      <x:c r="F48" s="16" t="n">
        <x:v>100</x:v>
      </x:c>
      <x:c r="G48" s="16" t="str">
        <x:v>Ideal 20-80, up to 120</x:v>
      </x:c>
      <x:c r="H48" s="16" t="n">
        <x:v>60</x:v>
      </x:c>
      <x:c r="I48" s="16" t="str">
        <x:v>3 nights</x:v>
      </x:c>
      <x:c r="J48" s="16" t="str">
        <x:v>Exclusive rental across Casa Cornacchi and Casa Murli</x:v>
      </x:c>
      <x:c r="K48" s="61" t="n">
        <x:v>101000</x:v>
      </x:c>
      <x:c r="L48" s="61" t="n">
        <x:v>124000</x:v>
      </x:c>
      <x:c r="M48" s="61" t="n">
        <x:v>148000</x:v>
      </x:c>
      <x:c r="N48" s="61" t="n">
        <x:v>124000</x:v>
      </x:c>
      <x:c r="O48" s="16" t="str">
        <x:v>Over $120k</x:v>
      </x:c>
      <x:c r="P48" s="16" t="str">
        <x:v>medium-low</x:v>
      </x:c>
      <x:c r="Q48" s="16" t="str">
        <x:v>2027 May-September three-night exclusive rental EUR 34,150; midweek discounts may apply</x:v>
      </x:c>
      <x:c r="R48" s="16" t="str">
        <x:v>Potentially near cap with a midweek discount and lean design, but likely over once 100-person lodging/transport and three events are funded. — Good rustic/farmhouse fit, but 100 is above the venue's stated ideal size.</x:v>
      </x:c>
    </x:row>
    <x:row r="49">
      <x:c r="A49" s="16" t="str">
        <x:v>Casa Monte Cristo Collection</x:v>
      </x:c>
      <x:c r="B49" s="16" t="str">
        <x:v>Added lead</x:v>
      </x:c>
      <x:c r="C49" s="16" t="str">
        <x:v>C — watch / budget risk</x:v>
      </x:c>
      <x:c r="D49" s="16" t="str">
        <x:v>Portugal</x:v>
      </x:c>
      <x:c r="E49" s="16" t="str">
        <x:v>Algarve - Lagos</x:v>
      </x:c>
      <x:c r="F49" s="16" t="n">
        <x:v>100</x:v>
      </x:c>
      <x:c r="G49" s="16" t="n">
        <x:v>100</x:v>
      </x:c>
      <x:c r="H49" s="16" t="n">
        <x:v>78</x:v>
      </x:c>
      <x:c r="I49" s="16" t="str">
        <x:v>Four nights</x:v>
      </x:c>
      <x:c r="J49" s="16" t="str">
        <x:v>Exclusive villa collection</x:v>
      </x:c>
      <x:c r="K49" s="61" t="n">
        <x:v>107000</x:v>
      </x:c>
      <x:c r="L49" s="61" t="n">
        <x:v>112000</x:v>
      </x:c>
      <x:c r="M49" s="61" t="n">
        <x:v>117000</x:v>
      </x:c>
      <x:c r="N49" s="61" t="n">
        <x:v>120000</x:v>
      </x:c>
      <x:c r="O49" s="16" t="str">
        <x:v>$100k–$120k</x:v>
      </x:c>
      <x:c r="P49" s="16" t="str">
        <x:v>High</x:v>
      </x:c>
      <x:c r="Q49" s="16" t="str">
        <x:v>2027 wedding-day package for 100 is EUR 34,980; all villas for four nights in May, June or September total EUR 32,020</x:v>
      </x:c>
      <x:c r="R49" s="16" t="str">
        <x:v>Within USD 120k core and close to turnkey, but generally above the preferred USD 100k and constrained by an 11:00 p.m. curfew — Best exact 2027 package transparency after Ristonchi. Rates come from a 2027 venue brochure hosted by Marry the World and should still be confirmed directly.</x:v>
      </x:c>
    </x:row>
    <x:row r="50">
      <x:c r="A50" s="16" t="str">
        <x:v>Chateau de la Couronne</x:v>
      </x:c>
      <x:c r="B50" s="16" t="str">
        <x:v>Added lead</x:v>
      </x:c>
      <x:c r="C50" s="16" t="str">
        <x:v>C — watch / budget risk</x:v>
      </x:c>
      <x:c r="D50" s="16" t="str">
        <x:v>France</x:v>
      </x:c>
      <x:c r="E50" s="16" t="str">
        <x:v>Nouvelle-Aquitaine - Marthon</x:v>
      </x:c>
      <x:c r="F50" s="16" t="n">
        <x:v>100</x:v>
      </x:c>
      <x:c r="G50" s="16" t="n">
        <x:v>100</x:v>
      </x:c>
      <x:c r="H50" s="16" t="n">
        <x:v>56</x:v>
      </x:c>
      <x:c r="I50" s="16" t="str">
        <x:v>Three days and three nights</x:v>
      </x:c>
      <x:c r="J50" s="16" t="str">
        <x:v>Exclusive estate use; preferred planner required</x:v>
      </x:c>
      <x:c r="K50" s="61" t="n">
        <x:v>103000</x:v>
      </x:c>
      <x:c r="L50" s="61" t="n">
        <x:v>115000</x:v>
      </x:c>
      <x:c r="M50" s="61" t="n">
        <x:v>127000</x:v>
      </x:c>
      <x:c r="N50" s="61" t="n">
        <x:v>127000</x:v>
      </x:c>
      <x:c r="O50" s="16" t="str">
        <x:v>Over $120k</x:v>
      </x:c>
      <x:c r="P50" s="16" t="str">
        <x:v>Medium due to conflicting official pricing</x:v>
      </x:c>
      <x:c r="Q50" s="16" t="str">
        <x:v>Official PDF: June-September venue EUR 34,450 plus 2026 essential catering EUR 313 per person and external suppliers from EUR 25,000; current page instead says venue from EUR 36,000 and catering/drinks from EUR 503 per person</x:v>
      </x:c>
      <x:c r="R50" s="16" t="str">
        <x:v>Borderline under the older guide and likely over USD 120k under current catering pricing — Closest structural alternative to Ristonchi, but do not shortlist on price until the venue reconciles its two official guides for 100 guests.</x:v>
      </x:c>
    </x:row>
    <x:row r="51">
      <x:c r="A51" s="16" t="str">
        <x:v>Chateau Les Crostes</x:v>
      </x:c>
      <x:c r="B51" s="16" t="str">
        <x:v>User workbook</x:v>
      </x:c>
      <x:c r="C51" s="16" t="str">
        <x:v>C — watch / budget risk</x:v>
      </x:c>
      <x:c r="D51" s="16" t="str">
        <x:v>France</x:v>
      </x:c>
      <x:c r="E51" s="16" t="str">
        <x:v>Lorgues, Provence</x:v>
      </x:c>
      <x:c r="F51" s="16" t="n">
        <x:v>100</x:v>
      </x:c>
      <x:c r="G51" s="16" t="n">
        <x:v>150</x:v>
      </x:c>
      <x:c r="H51" s="16" t="str">
        <x:v>12 rooms / about 28</x:v>
      </x:c>
      <x:c r="I51" s="16" t="str">
        <x:v>Two-night minimum mid/high season; three nights in June/July</x:v>
      </x:c>
      <x:c r="J51" s="16" t="str">
        <x:v>Exclusive estate dry hire</x:v>
      </x:c>
      <x:c r="K51" s="61" t="n">
        <x:v>105000</x:v>
      </x:c>
      <x:c r="L51" s="61" t="n">
        <x:v>128000</x:v>
      </x:c>
      <x:c r="M51" s="61" t="n">
        <x:v>155000</x:v>
      </x:c>
      <x:c r="N51" s="61" t="n">
        <x:v>147000</x:v>
      </x:c>
      <x:c r="O51" s="16" t="str">
        <x:v>Over $120k</x:v>
      </x:c>
      <x:c r="P51" s="16" t="str">
        <x:v>Medium on property facts; low on total</x:v>
      </x:c>
      <x:c r="Q51" s="16" t="str">
        <x:v>Current exclusive dry-hire range about EUR 12,000-EUR 23,760; two-night minimum, three nights in June/July</x:v>
      </x:c>
      <x:c r="R51" s="16" t="str">
        <x:v>Strong late-night/vibe lead but dry-hire and rain-plan costs could exceed the cap — No indoor event hall; a tent and production plan are central to the quote.</x:v>
      </x:c>
    </x:row>
    <x:row r="52">
      <x:c r="A52" s="16" t="str">
        <x:v>Craveiral Farmhouse</x:v>
      </x:c>
      <x:c r="B52" s="16" t="str">
        <x:v>Added lead</x:v>
      </x:c>
      <x:c r="C52" s="16" t="str">
        <x:v>C — watch / budget risk</x:v>
      </x:c>
      <x:c r="D52" s="16" t="str">
        <x:v>Portugal</x:v>
      </x:c>
      <x:c r="E52" s="16" t="str">
        <x:v>Alentejo – São Teotónio</x:v>
      </x:c>
      <x:c r="F52" s="16" t="n">
        <x:v>100</x:v>
      </x:c>
      <x:c r="G52" s="16" t="n">
        <x:v>140</x:v>
      </x:c>
      <x:c r="H52" s="16" t="str">
        <x:v>126–140 across 38 houses</x:v>
      </x:c>
      <x:c r="I52" s="16" t="str">
        <x:v>2 nights; 3-night minimum reported for July/August</x:v>
      </x:c>
      <x:c r="J52" s="16" t="str">
        <x:v>Full exclusive farmhouse resort buyout</x:v>
      </x:c>
      <x:c r="K52" s="61" t="n">
        <x:v>97000</x:v>
      </x:c>
      <x:c r="L52" s="61" t="n">
        <x:v>118000</x:v>
      </x:c>
      <x:c r="M52" s="61" t="n">
        <x:v>135000</x:v>
      </x:c>
      <x:c r="N52" s="61" t="n">
        <x:v>118000</x:v>
      </x:c>
      <x:c r="O52" s="16" t="str">
        <x:v>$100k–$120k</x:v>
      </x:c>
      <x:c r="P52" s="16" t="str">
        <x:v>Low-medium due to package conflict</x:v>
      </x:c>
      <x:c r="Q52" s="16" t="str">
        <x:v>Current secondary listing starts at €55,000 but contradicts itself on whether food and beverage are included</x:v>
      </x:c>
      <x:c r="R52" s="16" t="str">
        <x:v>Great concept; could fit only if the €55k starting price includes meaningful F&amp;B — Do not rank on price until the venue supplies a single itemized 100-person 2027/28 worksheet.</x:v>
      </x:c>
    </x:row>
    <x:row r="53">
      <x:c r="A53" s="16" t="str">
        <x:v>Gather Greene</x:v>
      </x:c>
      <x:c r="B53" s="16" t="str">
        <x:v>Added lead</x:v>
      </x:c>
      <x:c r="C53" s="16" t="str">
        <x:v>C — watch / budget risk</x:v>
      </x:c>
      <x:c r="D53" s="16" t="str">
        <x:v>United States</x:v>
      </x:c>
      <x:c r="E53" s="16" t="str">
        <x:v>New York - Coxsackie, Hudson Valley</x:v>
      </x:c>
      <x:c r="F53" s="16" t="n">
        <x:v>150</x:v>
      </x:c>
      <x:c r="G53" s="16" t="str">
        <x:v>150 fits; official max not on wedding page</x:v>
      </x:c>
      <x:c r="H53" s="16" t="n">
        <x:v>34</x:v>
      </x:c>
      <x:c r="I53" s="16" t="str">
        <x:v>Two-night minimum; cabins can extend Thu/Mon</x:v>
      </x:c>
      <x:c r="J53" s="16" t="str">
        <x:v>Exclusive 100 acres; required 17-cabin block</x:v>
      </x:c>
      <x:c r="K53" s="61" t="n">
        <x:v>100000</x:v>
      </x:c>
      <x:c r="L53" s="61" t="n">
        <x:v>118000</x:v>
      </x:c>
      <x:c r="M53" s="61" t="n">
        <x:v>135000</x:v>
      </x:c>
      <x:c r="N53" s="61" t="n">
        <x:v>165000</x:v>
      </x:c>
      <x:c r="O53" s="16" t="str">
        <x:v>Over $120k</x:v>
      </x:c>
      <x:c r="P53" s="16" t="str">
        <x:v>Medium</x:v>
      </x:c>
      <x:c r="Q53" s="16" t="str">
        <x:v>Official quote-only; current guide: USD 32,900 site + catering USD 28,500+, cabins separate</x:v>
      </x:c>
      <x:c r="R53" s="16" t="str">
        <x:v>Beautiful weekend match but marginal at USD 120k and unlikely under USD 100k — Only 34 sleep onsite, so most guests need hotels/shuttles.</x:v>
      </x:c>
    </x:row>
    <x:row r="54">
      <x:c r="A54" s="16" t="str">
        <x:v>Le Filigare Wine &amp; Country Relais</x:v>
      </x:c>
      <x:c r="B54" s="16" t="str">
        <x:v>Added lead</x:v>
      </x:c>
      <x:c r="C54" s="16" t="str">
        <x:v>C — watch / budget risk</x:v>
      </x:c>
      <x:c r="D54" s="16" t="str">
        <x:v>Italy</x:v>
      </x:c>
      <x:c r="E54" s="16" t="str">
        <x:v>Tuscany</x:v>
      </x:c>
      <x:c r="F54" s="16" t="n">
        <x:v>100</x:v>
      </x:c>
      <x:c r="G54" s="16" t="n">
        <x:v>100</x:v>
      </x:c>
      <x:c r="H54" s="16" t="n">
        <x:v>70</x:v>
      </x:c>
      <x:c r="I54" s="16" t="str">
        <x:v>3-night minimum</x:v>
      </x:c>
      <x:c r="J54" s="16" t="str">
        <x:v>Exclusive estate across two hamlets</x:v>
      </x:c>
      <x:c r="K54" s="61" t="n">
        <x:v>113000</x:v>
      </x:c>
      <x:c r="L54" s="61" t="n">
        <x:v>135000</x:v>
      </x:c>
      <x:c r="M54" s="61" t="n">
        <x:v>158000</x:v>
      </x:c>
      <x:c r="N54" s="61" t="n">
        <x:v>135000</x:v>
      </x:c>
      <x:c r="O54" s="16" t="str">
        <x:v>Over $120k</x:v>
      </x:c>
      <x:c r="P54" s="16" t="str">
        <x:v>medium on rental; low on total</x:v>
      </x:c>
      <x:c r="Q54" s="16" t="str">
        <x:v>2027 and 2028 May-September three-night weekend EUR 32,000 VAT included; Mon-Thu EUR 29,800</x:v>
      </x:c>
      <x:c r="R54" s="16" t="str">
        <x:v>Beautiful and exact 2028 pricing, but external catering plus 30 offsite guests makes a fully hosted three-day wedding likely exceed $120k. — Strong wet-weather infrastructure and near Florence; apartment-only room assignments can be awkward for singles.</x:v>
      </x:c>
    </x:row>
    <x:row r="55">
      <x:c r="A55" s="16" t="str">
        <x:v>Masseria Montenapoleone</x:v>
      </x:c>
      <x:c r="B55" s="16" t="str">
        <x:v>User list</x:v>
      </x:c>
      <x:c r="C55" s="16" t="str">
        <x:v>C — watch / budget risk</x:v>
      </x:c>
      <x:c r="D55" s="16" t="str">
        <x:v>Italy</x:v>
      </x:c>
      <x:c r="E55" s="16" t="str">
        <x:v>Puglia - Fasano</x:v>
      </x:c>
      <x:c r="F55" s="16" t="n">
        <x:v>100</x:v>
      </x:c>
      <x:c r="G55" s="16" t="str">
        <x:v>Wedding capacity not currently published; custom destination weddings are offered</x:v>
      </x:c>
      <x:c r="H55" s="16" t="str">
        <x:v>Current listing shows 23 rooms/suites; older planner source reports approximately 42 guests</x:v>
      </x:c>
      <x:c r="I55" s="16" t="str">
        <x:v>Three-night minimum reported by an independent planner</x:v>
      </x:c>
      <x:c r="J55" s="16" t="str">
        <x:v>One event per day; full residential exclusivity requires a quote</x:v>
      </x:c>
      <x:c r="K55" s="61" t="n">
        <x:v>89000</x:v>
      </x:c>
      <x:c r="L55" s="61" t="n">
        <x:v>107000</x:v>
      </x:c>
      <x:c r="M55" s="61" t="n">
        <x:v>125000</x:v>
      </x:c>
      <x:c r="N55" s="61" t="n">
        <x:v>122000</x:v>
      </x:c>
      <x:c r="O55" s="16" t="str">
        <x:v>Over $120k</x:v>
      </x:c>
      <x:c r="P55" s="16" t="str">
        <x:v>Low-medium</x:v>
      </x:c>
      <x:c r="Q55" s="16" t="str">
        <x:v>Quote-only; room and wedding rates are not published as a complete package</x:v>
      </x:c>
      <x:c r="R55" s="16" t="str">
        <x:v>Possible under USD 120k with guest-paid rooms, but likely above the preferred USD 100k target — An older planner source reports no weddings from mid-July through August; confirm whether this blackout remains in force for 2027/28.</x:v>
      </x:c>
    </x:row>
    <x:row r="56">
      <x:c r="A56" s="16" t="str">
        <x:v>Masseria Potenti</x:v>
      </x:c>
      <x:c r="B56" s="16" t="str">
        <x:v>User list</x:v>
      </x:c>
      <x:c r="C56" s="16" t="str">
        <x:v>C — watch / budget risk</x:v>
      </x:c>
      <x:c r="D56" s="16" t="str">
        <x:v>Italy</x:v>
      </x:c>
      <x:c r="E56" s="16" t="str">
        <x:v>Puglia - Manduria area</x:v>
      </x:c>
      <x:c r="F56" s="16" t="n">
        <x:v>100</x:v>
      </x:c>
      <x:c r="G56" s="16" t="str">
        <x:v>Approximately 200 seated; official restaurant maximum 250</x:v>
      </x:c>
      <x:c r="H56" s="16" t="n">
        <x:v>62</x:v>
      </x:c>
      <x:c r="I56" s="16" t="str">
        <x:v>Three-night minimum reported by an independent wedding planner</x:v>
      </x:c>
      <x:c r="J56" s="16" t="str">
        <x:v>Whole-estate wedding stay available by quote</x:v>
      </x:c>
      <x:c r="K56" s="61" t="n">
        <x:v>96000</x:v>
      </x:c>
      <x:c r="L56" s="61" t="n">
        <x:v>112000</x:v>
      </x:c>
      <x:c r="M56" s="61" t="n">
        <x:v>129000</x:v>
      </x:c>
      <x:c r="N56" s="61" t="n">
        <x:v>124000</x:v>
      </x:c>
      <x:c r="O56" s="16" t="str">
        <x:v>Over $120k</x:v>
      </x:c>
      <x:c r="P56" s="16" t="str">
        <x:v>Medium-low</x:v>
      </x:c>
      <x:c r="Q56" s="16" t="str">
        <x:v>Independent planner reports wedding menu from EUR 198 per person; official room rates range from EUR 250 to EUR 650</x:v>
      </x:c>
      <x:c r="R56" s="16" t="str">
        <x:v>Budget-risk; under USD 100k only at the lean end or with guest-paid rooms — Strong aesthetic and residential fit, but much less inclusive than Ristonchi. 'Masseria Polenti' in the user list appears to mean Masseria Potenti.</x:v>
      </x:c>
    </x:row>
    <x:row r="57">
      <x:c r="A57" s="16" t="str">
        <x:v>Monteverde at Oldstone</x:v>
      </x:c>
      <x:c r="B57" s="16" t="str">
        <x:v>User list</x:v>
      </x:c>
      <x:c r="C57" s="16" t="str">
        <x:v>C — watch / budget risk</x:v>
      </x:c>
      <x:c r="D57" s="16" t="str">
        <x:v>United States</x:v>
      </x:c>
      <x:c r="E57" s="16" t="str">
        <x:v>New York - Cortlandt Manor</x:v>
      </x:c>
      <x:c r="F57" s="16" t="n">
        <x:v>150</x:v>
      </x:c>
      <x:c r="G57" s="16" t="n">
        <x:v>360</x:v>
      </x:c>
      <x:c r="H57" s="16" t="str"/>
      <x:c r="I57" s="16" t="str">
        <x:v>One-day estate wedding; lodging/events optional</x:v>
      </x:c>
      <x:c r="J57" s="16" t="str">
        <x:v>Private 27-acre wedding; overnight exclusivity quote-only</x:v>
      </x:c>
      <x:c r="K57" s="61" t="n">
        <x:v>90000</x:v>
      </x:c>
      <x:c r="L57" s="61" t="n">
        <x:v>107000</x:v>
      </x:c>
      <x:c r="M57" s="61" t="n">
        <x:v>125000</x:v>
      </x:c>
      <x:c r="N57" s="61" t="n">
        <x:v>150000</x:v>
      </x:c>
      <x:c r="O57" s="16" t="str">
        <x:v>Over $120k</x:v>
      </x:c>
      <x:c r="P57" s="16" t="str">
        <x:v>Medium</x:v>
      </x:c>
      <x:c r="Q57" s="16" t="str">
        <x:v>Current guide USD 416 pp starting; USD 62,400 for 150 before upgrades/lodging</x:v>
      </x:c>
      <x:c r="R57" s="16" t="str">
        <x:v>Excellent look but budget risk near/over USD 100k — Correct name for user's 'oldstone at monteverde.'</x:v>
      </x:c>
    </x:row>
    <x:row r="58">
      <x:c r="A58" s="16" t="str">
        <x:v>Tenute del Cerro</x:v>
      </x:c>
      <x:c r="B58" s="16" t="str">
        <x:v>User workbook</x:v>
      </x:c>
      <x:c r="C58" s="16" t="str">
        <x:v>C — watch / budget risk</x:v>
      </x:c>
      <x:c r="D58" s="16" t="str">
        <x:v>Italy</x:v>
      </x:c>
      <x:c r="E58" s="16" t="str">
        <x:v>Tuscany / Umbria portfolio</x:v>
      </x:c>
      <x:c r="F58" s="16" t="n">
        <x:v>100</x:v>
      </x:c>
      <x:c r="G58" s="16" t="str">
        <x:v>Official wedding/event language says over 60; 100 not confirmed</x:v>
      </x:c>
      <x:c r="H58" s="16" t="str">
        <x:v>Current official property copy states 19 rooms; occupancy requires a rooming list</x:v>
      </x:c>
      <x:c r="I58" s="16" t="str">
        <x:v>Property-specific</x:v>
      </x:c>
      <x:c r="J58" s="16" t="str">
        <x:v>Clarify the exact estate</x:v>
      </x:c>
      <x:c r="K58" s="61" t="str"/>
      <x:c r="L58" s="61" t="str"/>
      <x:c r="M58" s="61" t="str"/>
      <x:c r="N58" s="61" t="str"/>
      <x:c r="O58" s="16" t="str">
        <x:v>Quote required</x:v>
      </x:c>
      <x:c r="P58" s="16" t="str">
        <x:v>Low</x:v>
      </x:c>
      <x:c r="Q58" s="16" t="str">
        <x:v>Quote-only; entry refers to a portfolio rather than one venue</x:v>
      </x:c>
      <x:c r="R58" s="16" t="str">
        <x:v>Clarify property and capacity before spending time on a quote — The workbook entry is a portfolio. Treat Fattoria del Cerro / Relais Villa Grazianella as a hypothesis until the couple or vendor identifies the exact property.</x:v>
      </x:c>
    </x:row>
    <x:row r="59">
      <x:c r="A59" s="16" t="str">
        <x:v>Villa Nemora</x:v>
      </x:c>
      <x:c r="B59" s="16" t="str">
        <x:v>User workbook</x:v>
      </x:c>
      <x:c r="C59" s="16" t="str">
        <x:v>C — watch / budget risk</x:v>
      </x:c>
      <x:c r="D59" s="16" t="str">
        <x:v>Italy</x:v>
      </x:c>
      <x:c r="E59" s="16" t="str">
        <x:v>Tuscany</x:v>
      </x:c>
      <x:c r="F59" s="16" t="n">
        <x:v>100</x:v>
      </x:c>
      <x:c r="G59" s="16" t="n">
        <x:v>100</x:v>
      </x:c>
      <x:c r="H59" s="16" t="n">
        <x:v>58</x:v>
      </x:c>
      <x:c r="I59" s="16" t="str">
        <x:v>3-night high-season weekend</x:v>
      </x:c>
      <x:c r="J59" s="16" t="str">
        <x:v>Exclusive rent of three estate residences</x:v>
      </x:c>
      <x:c r="K59" s="61" t="n">
        <x:v>115000</x:v>
      </x:c>
      <x:c r="L59" s="61" t="n">
        <x:v>137000</x:v>
      </x:c>
      <x:c r="M59" s="61" t="n">
        <x:v>158000</x:v>
      </x:c>
      <x:c r="N59" s="61" t="n">
        <x:v>137000</x:v>
      </x:c>
      <x:c r="O59" s="16" t="str">
        <x:v>Over $120k</x:v>
      </x:c>
      <x:c r="P59" s="16" t="str">
        <x:v>medium on rental; low on total</x:v>
      </x:c>
      <x:c r="Q59" s="16" t="str">
        <x:v>2027 high-season three-night weekend from EUR 39,850</x:v>
      </x:c>
      <x:c r="R59" s="16" t="str">
        <x:v>Visually strong but probably above cap once all 100 are lodged and three externally catered events are produced. — Contacted 7/26; quote, 58-bed rooming plan and wet-weather capacity still need reconciliation.</x:v>
      </x:c>
    </x:row>
    <x:row r="60">
      <x:c r="A60" s="16" t="str">
        <x:v>Villa Pitiana</x:v>
      </x:c>
      <x:c r="B60" s="16" t="str">
        <x:v>Added lead</x:v>
      </x:c>
      <x:c r="C60" s="16" t="str">
        <x:v>C — watch / budget risk</x:v>
      </x:c>
      <x:c r="D60" s="16" t="str">
        <x:v>Italy</x:v>
      </x:c>
      <x:c r="E60" s="16" t="str">
        <x:v>Tuscany</x:v>
      </x:c>
      <x:c r="F60" s="16" t="n">
        <x:v>100</x:v>
      </x:c>
      <x:c r="G60" s="16" t="n">
        <x:v>200</x:v>
      </x:c>
      <x:c r="H60" s="16" t="n">
        <x:v>140</x:v>
      </x:c>
      <x:c r="I60" s="16" t="str">
        <x:v>3 nights</x:v>
      </x:c>
      <x:c r="J60" s="16" t="str">
        <x:v>Exclusive hotel buyout available</x:v>
      </x:c>
      <x:c r="K60" s="61" t="n">
        <x:v>102000</x:v>
      </x:c>
      <x:c r="L60" s="61" t="n">
        <x:v>122000</x:v>
      </x:c>
      <x:c r="M60" s="61" t="n">
        <x:v>146000</x:v>
      </x:c>
      <x:c r="N60" s="61" t="n">
        <x:v>122000</x:v>
      </x:c>
      <x:c r="O60" s="16" t="str">
        <x:v>Over $120k</x:v>
      </x:c>
      <x:c r="P60" s="16" t="str">
        <x:v>medium-low</x:v>
      </x:c>
      <x:c r="Q60" s="16" t="str">
        <x:v>2026/27 high-season weekend three-night exclusive rental EUR 36,000 plus one-time reception fee EUR 2,500 + 22% VAT</x:v>
      </x:c>
      <x:c r="R60" s="16" t="str">
        <x:v>Excellent bed capacity and logistics, but likely sits at/above the cap unless a midweek or lean F&amp;B/decor quote comes in well. — Full indoor rain plan and all guests onsite are major advantages.</x:v>
      </x:c>
    </x:row>
    <x:row r="61">
      <x:c r="A61" s="16" t="str">
        <x:v>Arrow Park</x:v>
      </x:c>
      <x:c r="B61" s="16" t="str">
        <x:v>User workbook</x:v>
      </x:c>
      <x:c r="C61" s="16" t="str">
        <x:v>C — watch / hosted-lodging risk</x:v>
      </x:c>
      <x:c r="D61" s="16" t="str">
        <x:v>United States</x:v>
      </x:c>
      <x:c r="E61" s="16" t="str">
        <x:v>New York - Monroe</x:v>
      </x:c>
      <x:c r="F61" s="16" t="n">
        <x:v>150</x:v>
      </x:c>
      <x:c r="G61" s="16" t="n">
        <x:v>175</x:v>
      </x:c>
      <x:c r="H61" s="16" t="n">
        <x:v>28</x:v>
      </x:c>
      <x:c r="I61" s="16" t="str">
        <x:v>Eight-hour event including afterparty; wedding-night lodging</x:v>
      </x:c>
      <x:c r="J61" s="16" t="str">
        <x:v>Exclusive estate/grounds for event</x:v>
      </x:c>
      <x:c r="K61" s="61" t="n">
        <x:v>100000</x:v>
      </x:c>
      <x:c r="L61" s="61" t="n">
        <x:v>115000</x:v>
      </x:c>
      <x:c r="M61" s="61" t="n">
        <x:v>135000</x:v>
      </x:c>
      <x:c r="N61" s="61" t="n">
        <x:v>147000</x:v>
      </x:c>
      <x:c r="O61" s="16" t="str">
        <x:v>Over $120k</x:v>
      </x:c>
      <x:c r="P61" s="16" t="str">
        <x:v>High</x:v>
      </x:c>
      <x:c r="Q61" s="16" t="str">
        <x:v>Private peak-Saturday proposal: $35,480.51 fully loaded for venue, wedding-night lodging and included afterparty; catering/bar excluded</x:v>
      </x:c>
      <x:c r="R61" s="16" t="str">
        <x:v>Within the hard cap in the loaded base model, but no longer a credible under-$100k path — Private quote includes exclusive grounds, coordinator/staff, basic rentals/setup, 12 rooms sleeping 28 and afterparty for up to 50. Outside caterer fee $1,500; all alcohol/bar staff through Arrow.</x:v>
      </x:c>
    </x:row>
    <x:row r="62">
      <x:c r="A62" s="16" t="str">
        <x:v>Crested Hen Farms</x:v>
      </x:c>
      <x:c r="B62" s="16" t="str">
        <x:v>User workbook</x:v>
      </x:c>
      <x:c r="C62" s="16" t="str">
        <x:v>C — watch / hosted-lodging risk</x:v>
      </x:c>
      <x:c r="D62" s="16" t="str">
        <x:v>United States</x:v>
      </x:c>
      <x:c r="E62" s="16" t="str">
        <x:v>High Falls, New York</x:v>
      </x:c>
      <x:c r="F62" s="16" t="n">
        <x:v>150</x:v>
      </x:c>
      <x:c r="G62" s="16" t="str">
        <x:v>150 documented; some marketplaces advertise 200, so contract and tent plan control</x:v>
      </x:c>
      <x:c r="H62" s="16" t="n">
        <x:v>21</x:v>
      </x:c>
      <x:c r="I62" s="16" t="str">
        <x:v>Weekend framework with two nights of guest-house/cottage lodging</x:v>
      </x:c>
      <x:c r="J62" s="16" t="str">
        <x:v>32-acre farm venue; confirm exact exclusive-use window</x:v>
      </x:c>
      <x:c r="K62" s="61" t="n">
        <x:v>88000</x:v>
      </x:c>
      <x:c r="L62" s="61" t="n">
        <x:v>104000</x:v>
      </x:c>
      <x:c r="M62" s="61" t="n">
        <x:v>123000</x:v>
      </x:c>
      <x:c r="N62" s="61" t="n">
        <x:v>142000</x:v>
      </x:c>
      <x:c r="O62" s="16" t="str">
        <x:v>Over $120k</x:v>
      </x:c>
      <x:c r="P62" s="16" t="str">
        <x:v>Medium-high on user quote; medium on total</x:v>
      </x:c>
      <x:c r="Q62" s="16" t="str">
        <x:v>User quote: $19,000 excluding food, with lodging for 21; public page previously showed an $18,000 weekend starting point</x:v>
      </x:c>
      <x:c r="R62" s="16" t="str">
        <x:v>One of the most promising new US leads if vendor bids and late-night terms hold — User $19,000 quote is likely newer than the public $18,000 rental. The 3,000-square-foot barn is not a 150-person seated rain solution; get tent pricing and exact inn-afterparty hours.</x:v>
      </x:c>
    </x:row>
    <x:row r="63">
      <x:c r="A63" s="16" t="str">
        <x:v>Full Moon Resort</x:v>
      </x:c>
      <x:c r="B63" s="16" t="str">
        <x:v>Added lead</x:v>
      </x:c>
      <x:c r="C63" s="16" t="str">
        <x:v>C — watch / hosted-lodging risk</x:v>
      </x:c>
      <x:c r="D63" s="16" t="str">
        <x:v>United States</x:v>
      </x:c>
      <x:c r="E63" s="16" t="str">
        <x:v>New York - Big Indian, Catskills</x:v>
      </x:c>
      <x:c r="F63" s="16" t="n">
        <x:v>150</x:v>
      </x:c>
      <x:c r="G63" s="16" t="n">
        <x:v>350</x:v>
      </x:c>
      <x:c r="H63" s="16" t="n">
        <x:v>150</x:v>
      </x:c>
      <x:c r="I63" s="16" t="str">
        <x:v>Friday BBQ arrival through Sunday brunch pattern</x:v>
      </x:c>
      <x:c r="J63" s="16" t="str">
        <x:v>Destination resort weekend; exclusivity/room guarantee quote-only</x:v>
      </x:c>
      <x:c r="K63" s="61" t="n">
        <x:v>65000</x:v>
      </x:c>
      <x:c r="L63" s="61" t="n">
        <x:v>85000</x:v>
      </x:c>
      <x:c r="M63" s="61" t="n">
        <x:v>110000</x:v>
      </x:c>
      <x:c r="N63" s="61" t="n">
        <x:v>121000</x:v>
      </x:c>
      <x:c r="O63" s="16" t="str">
        <x:v>Over $120k</x:v>
      </x:c>
      <x:c r="P63" s="16" t="str">
        <x:v>Medium</x:v>
      </x:c>
      <x:c r="Q63" s="16" t="str">
        <x:v>Peak wedding-day package USD 150-320 pp including site/planning/food/rentals/3-hour premium bar/staff/service</x:v>
      </x:c>
      <x:c r="R63" s="16" t="str">
        <x:v>Closest current US residential option, but just over the hard cap when the couple hosts lodging — Primary host-all formula model is approximately $121,085; request a dated room-and-meal guarantee to find savings.</x:v>
      </x:c>
    </x:row>
    <x:row r="64">
      <x:c r="A64" s="16" t="str">
        <x:v>Magnanini Winery</x:v>
      </x:c>
      <x:c r="B64" s="16" t="str">
        <x:v>User list</x:v>
      </x:c>
      <x:c r="C64" s="16" t="str">
        <x:v>C — watch / hosted-lodging risk</x:v>
      </x:c>
      <x:c r="D64" s="16" t="str">
        <x:v>United States</x:v>
      </x:c>
      <x:c r="E64" s="16" t="str">
        <x:v>New York - Wallkill</x:v>
      </x:c>
      <x:c r="F64" s="16" t="n">
        <x:v>150</x:v>
      </x:c>
      <x:c r="G64" s="16" t="n">
        <x:v>200</x:v>
      </x:c>
      <x:c r="H64" s="16" t="str"/>
      <x:c r="I64" s="16" t="str">
        <x:v>One wedding/day; one-hour cocktail + four-hour reception</x:v>
      </x:c>
      <x:c r="J64" s="16" t="str">
        <x:v>Exclusive event; weekend extras separate</x:v>
      </x:c>
      <x:c r="K64" s="61" t="n">
        <x:v>65000</x:v>
      </x:c>
      <x:c r="L64" s="61" t="n">
        <x:v>80000</x:v>
      </x:c>
      <x:c r="M64" s="61" t="n">
        <x:v>95000</x:v>
      </x:c>
      <x:c r="N64" s="61" t="n">
        <x:v>125000</x:v>
      </x:c>
      <x:c r="O64" s="16" t="str">
        <x:v>Over $120k</x:v>
      </x:c>
      <x:c r="P64" s="16" t="str">
        <x:v>High</x:v>
      </x:c>
      <x:c r="Q64" s="16" t="str">
        <x:v>Site USD 4,500-9,500; catering USD 175 pp; USD 15k F&amp;B min; 22% service + 8% tax</x:v>
      </x:c>
      <x:c r="R64" s="16" t="str">
        <x:v>Top original-list value; strong chance under USD 100k — Core 150-person site/F&amp;B about USD 39k-44k.</x:v>
      </x:c>
    </x:row>
    <x:row r="65">
      <x:c r="A65" s="16" t="str">
        <x:v>A Private Estate Events</x:v>
      </x:c>
      <x:c r="B65" s="16" t="str">
        <x:v>User workbook</x:v>
      </x:c>
      <x:c r="C65" s="16" t="str">
        <x:v>D - user pass</x:v>
      </x:c>
      <x:c r="D65" s="16" t="str">
        <x:v>United States</x:v>
      </x:c>
      <x:c r="E65" s="16" t="str">
        <x:v>Hudson Valley, New York</x:v>
      </x:c>
      <x:c r="F65" s="16" t="n">
        <x:v>150</x:v>
      </x:c>
      <x:c r="G65" s="16" t="n">
        <x:v>300</x:v>
      </x:c>
      <x:c r="H65" s="16" t="n">
        <x:v>18</x:v>
      </x:c>
      <x:c r="I65" s="16" t="str">
        <x:v>Quote required</x:v>
      </x:c>
      <x:c r="J65" s="16" t="str">
        <x:v>Private estate event</x:v>
      </x:c>
      <x:c r="K65" s="61" t="n">
        <x:v>100000</x:v>
      </x:c>
      <x:c r="L65" s="61" t="n">
        <x:v>125000</x:v>
      </x:c>
      <x:c r="M65" s="61" t="n">
        <x:v>155000</x:v>
      </x:c>
      <x:c r="N65" s="61" t="n">
        <x:v>165000</x:v>
      </x:c>
      <x:c r="O65" s="16" t="str">
        <x:v>Over $120k</x:v>
      </x:c>
      <x:c r="P65" s="16" t="str">
        <x:v>User decision only</x:v>
      </x:c>
      <x:c r="Q65" s="16" t="str">
        <x:v>Current marketplace peak start about $15,500; wedding is eight hours, with housing and other events separate</x:v>
      </x:c>
      <x:c r="R65" s="16" t="str">
        <x:v>User pass - no late-night music — Explicit rejection is evidence for the late-night hard gate.</x:v>
      </x:c>
    </x:row>
    <x:row r="66">
      <x:c r="A66" s="16" t="str">
        <x:v>Adirondack Camp</x:v>
      </x:c>
      <x:c r="B66" s="16" t="str">
        <x:v>User decision</x:v>
      </x:c>
      <x:c r="C66" s="16" t="str">
        <x:v>D - user pass</x:v>
      </x:c>
      <x:c r="D66" s="16" t="str">
        <x:v>United States</x:v>
      </x:c>
      <x:c r="E66" s="16" t="str">
        <x:v>New York - Putnam Station, Lake George</x:v>
      </x:c>
      <x:c r="F66" s="16" t="n">
        <x:v>150</x:v>
      </x:c>
      <x:c r="G66" s="16" t="n">
        <x:v>150</x:v>
      </x:c>
      <x:c r="H66" s="16" t="n">
        <x:v>150</x:v>
      </x:c>
      <x:c r="I66" s="16" t="str">
        <x:v>Three days/two nights</x:v>
      </x:c>
      <x:c r="J66" s="16" t="str">
        <x:v>Exclusive Lake George camp</x:v>
      </x:c>
      <x:c r="K66" s="61" t="n">
        <x:v>93000</x:v>
      </x:c>
      <x:c r="L66" s="61" t="n">
        <x:v>105000</x:v>
      </x:c>
      <x:c r="M66" s="61" t="n">
        <x:v>118000</x:v>
      </x:c>
      <x:c r="N66" s="61" t="n">
        <x:v>105000</x:v>
      </x:c>
      <x:c r="O66" s="16" t="str">
        <x:v>$100k–$120k</x:v>
      </x:c>
      <x:c r="P66" s="16" t="str">
        <x:v>Medium-high</x:v>
      </x:c>
      <x:c r="Q66" s="16" t="str">
        <x:v>2026 site-only USD 26,750; all-inclusive USD 62,000; luxury USD 82,000 for 150</x:v>
      </x:c>
      <x:c r="R66" s="16" t="str">
        <x:v>User pass - unacceptable travel distance and excessive walking across the property — Explicit user pass recorded 2026-08-04: too far from the couple's preferred area and guests would need to walk too much between venue areas. Retained only as decision history.</x:v>
      </x:c>
    </x:row>
    <x:row r="67">
      <x:c r="A67" s="16" t="str">
        <x:v>Chateau de Sanse</x:v>
      </x:c>
      <x:c r="B67" s="16" t="str">
        <x:v>User workbook</x:v>
      </x:c>
      <x:c r="C67" s="16" t="str">
        <x:v>D - user pass</x:v>
      </x:c>
      <x:c r="D67" s="16" t="str">
        <x:v>France</x:v>
      </x:c>
      <x:c r="E67" s="16" t="str">
        <x:v>Near Saint-Emilion / Bordeaux</x:v>
      </x:c>
      <x:c r="F67" s="16" t="n">
        <x:v>100</x:v>
      </x:c>
      <x:c r="G67" s="16" t="str">
        <x:v>100-120 outdoors; indoor rain plan about 80</x:v>
      </x:c>
      <x:c r="H67" s="16" t="str">
        <x:v>16 rooms / 32 double occupancy, up to about 43 with rollaways</x:v>
      </x:c>
      <x:c r="I67" s="16" t="str">
        <x:v>Minimum two-night exclusive buyout</x:v>
      </x:c>
      <x:c r="J67" s="16" t="str">
        <x:v>Exclusive hotel buyout</x:v>
      </x:c>
      <x:c r="K67" s="61" t="n">
        <x:v>70000</x:v>
      </x:c>
      <x:c r="L67" s="61" t="n">
        <x:v>92000</x:v>
      </x:c>
      <x:c r="M67" s="61" t="n">
        <x:v>118000</x:v>
      </x:c>
      <x:c r="N67" s="61" t="n">
        <x:v>116000</x:v>
      </x:c>
      <x:c r="O67" s="16" t="str">
        <x:v>$100k–$120k</x:v>
      </x:c>
      <x:c r="P67" s="16" t="str">
        <x:v>User decision only</x:v>
      </x:c>
      <x:c r="Q67" s="16" t="str">
        <x:v>Current listing anchors conflict: about EUR 10,355 for two nights or EUR 11,055-EUR 11,355 for three; per-person event catering still needs a quote</x:v>
      </x:c>
      <x:c r="R67" s="16" t="str">
        <x:v>User pass - reason not recorded — A strong value wildcard on paper, but the couple already marked pass without a recorded reason; do not revive unless that decision was accidental.</x:v>
      </x:c>
    </x:row>
    <x:row r="68">
      <x:c r="A68" s="16" t="str">
        <x:v>Glynwood</x:v>
      </x:c>
      <x:c r="B68" s="16" t="str">
        <x:v>User workbook</x:v>
      </x:c>
      <x:c r="C68" s="16" t="str">
        <x:v>D - user pass</x:v>
      </x:c>
      <x:c r="D68" s="16" t="str">
        <x:v>United States</x:v>
      </x:c>
      <x:c r="E68" s="16" t="str">
        <x:v>Cold Spring, New York</x:v>
      </x:c>
      <x:c r="F68" s="16" t="n">
        <x:v>150</x:v>
      </x:c>
      <x:c r="G68" s="16" t="str">
        <x:v>Up to 250 tented; tent required</x:v>
      </x:c>
      <x:c r="H68" s="16" t="str">
        <x:v>About 42-44 onsite; reconcile the private rooming list with the current official 44-bed statement</x:v>
      </x:c>
      <x:c r="I68" s="16" t="str">
        <x:v>Wedding day + 5-hour rehearsal dinner + 2-hour brunch; mandatory two-night lodging</x:v>
      </x:c>
      <x:c r="J68" s="16" t="str">
        <x:v>One wedding per weekend; rental includes access to all lodging, but the direct quote prices lodging separately</x:v>
      </x:c>
      <x:c r="K68" s="61" t="n">
        <x:v>120000</x:v>
      </x:c>
      <x:c r="L68" s="61" t="n">
        <x:v>145000</x:v>
      </x:c>
      <x:c r="M68" s="61" t="n">
        <x:v>175000</x:v>
      </x:c>
      <x:c r="N68" s="61" t="n">
        <x:v>190000</x:v>
      </x:c>
      <x:c r="O68" s="16" t="str">
        <x:v>Over $120k</x:v>
      </x:c>
      <x:c r="P68" s="16" t="str">
        <x:v>High on private proposal</x:v>
      </x:c>
      <x:c r="Q68" s="16" t="str">
        <x:v>Private proposal: $23,750 facility/donation; mandatory lodging totals $12,710 before 8.375% tax; food, tent and vendors extra</x:v>
      </x:c>
      <x:c r="R68" s="16" t="str">
        <x:v>User pass - facility-only economics exceed the value threshold — Private quote says lodging is extra while the current FAQ says rentals include access to overnight accommodations; confirm whether that means access/block only. Earliest noted availability is 2028. User pass: too expensive.</x:v>
      </x:c>
    </x:row>
    <x:row r="69">
      <x:c r="A69" s="16" t="str">
        <x:v>Masseria Alchimia</x:v>
      </x:c>
      <x:c r="B69" s="16" t="str">
        <x:v>User workbook</x:v>
      </x:c>
      <x:c r="C69" s="16" t="str">
        <x:v>D - user pass</x:v>
      </x:c>
      <x:c r="D69" s="16" t="str">
        <x:v>Italy</x:v>
      </x:c>
      <x:c r="E69" s="16" t="str">
        <x:v>Fasano, Puglia</x:v>
      </x:c>
      <x:c r="F69" s="16" t="n">
        <x:v>100</x:v>
      </x:c>
      <x:c r="G69" s="16" t="str">
        <x:v>About 200-250</x:v>
      </x:c>
      <x:c r="H69" s="16" t="str">
        <x:v>About 8 rooms / 20 beds</x:v>
      </x:c>
      <x:c r="I69" s="16" t="str">
        <x:v>Quote required</x:v>
      </x:c>
      <x:c r="J69" s="16" t="str">
        <x:v>Quote required</x:v>
      </x:c>
      <x:c r="K69" s="61" t="str"/>
      <x:c r="L69" s="61" t="str"/>
      <x:c r="M69" s="61" t="str"/>
      <x:c r="N69" s="61" t="str"/>
      <x:c r="O69" s="16" t="str">
        <x:v>Quote required</x:v>
      </x:c>
      <x:c r="P69" s="16" t="str">
        <x:v>User decision only</x:v>
      </x:c>
      <x:c r="Q69" s="16" t="str">
        <x:v>Public teaser starts around EUR 4,200, but the couple's direct quote was materially higher and controls</x:v>
      </x:c>
      <x:c r="R69" s="16" t="str">
        <x:v>User pass - too expensive — Do not model from the teaser price. User pass: too expensive.</x:v>
      </x:c>
    </x:row>
    <x:row r="70">
      <x:c r="A70" s="16" t="str">
        <x:v>The Old Mill at Audrey's Farmhouse</x:v>
      </x:c>
      <x:c r="B70" s="16" t="str">
        <x:v>User workbook</x:v>
      </x:c>
      <x:c r="C70" s="16" t="str">
        <x:v>D - user pass</x:v>
      </x:c>
      <x:c r="D70" s="16" t="str">
        <x:v>United States</x:v>
      </x:c>
      <x:c r="E70" s="16" t="str">
        <x:v>Gardiner, New York</x:v>
      </x:c>
      <x:c r="F70" s="16" t="n">
        <x:v>150</x:v>
      </x:c>
      <x:c r="G70" s="16" t="n">
        <x:v>200</x:v>
      </x:c>
      <x:c r="H70" s="16" t="n">
        <x:v>50</x:v>
      </x:c>
      <x:c r="I70" s="16" t="str">
        <x:v>Two-night minimum</x:v>
      </x:c>
      <x:c r="J70" s="16" t="str">
        <x:v>24-acre wedding venue and lodging</x:v>
      </x:c>
      <x:c r="K70" s="61" t="n">
        <x:v>82000</x:v>
      </x:c>
      <x:c r="L70" s="61" t="n">
        <x:v>98000</x:v>
      </x:c>
      <x:c r="M70" s="61" t="n">
        <x:v>118000</x:v>
      </x:c>
      <x:c r="N70" s="61" t="n">
        <x:v>128000</x:v>
      </x:c>
      <x:c r="O70" s="16" t="str">
        <x:v>Over $120k</x:v>
      </x:c>
      <x:c r="P70" s="16" t="str">
        <x:v>High on private brochure</x:v>
      </x:c>
      <x:c r="Q70" s="16" t="str">
        <x:v>Private brochure: venue $14,000 July/August or $16,000 June/September/October + 8%; F&amp;B $195/person, $28,000 minimum + 20% service + 8% tax</x:v>
      </x:c>
      <x:c r="R70" s="16" t="str">
        <x:v>Financially plausible, but user pass - did not like the venue — Manual aesthetic veto controls despite a workable cost structure.</x:v>
      </x:c>
    </x:row>
    <x:row r="71">
      <x:c r="A71" s="16" t="str">
        <x:v>Bello Giorno Estate</x:v>
      </x:c>
      <x:c r="B71" s="16" t="str">
        <x:v>User list</x:v>
      </x:c>
      <x:c r="C71" s="16" t="str">
        <x:v>D — eliminate / over cap</x:v>
      </x:c>
      <x:c r="D71" s="16" t="str">
        <x:v>United States</x:v>
      </x:c>
      <x:c r="E71" s="16" t="str">
        <x:v>New Jersey - Belvidere</x:v>
      </x:c>
      <x:c r="F71" s="16" t="n">
        <x:v>150</x:v>
      </x:c>
      <x:c r="G71" s="16" t="n">
        <x:v>125</x:v>
      </x:c>
      <x:c r="H71" s="16" t="n">
        <x:v>0</x:v>
      </x:c>
      <x:c r="I71" s="16" t="str">
        <x:v>Five-hour one-day event</x:v>
      </x:c>
      <x:c r="J71" s="16" t="str">
        <x:v>Event hours only</x:v>
      </x:c>
      <x:c r="K71" s="61" t="str"/>
      <x:c r="L71" s="61" t="str"/>
      <x:c r="M71" s="61" t="str"/>
      <x:c r="N71" s="61" t="str"/>
      <x:c r="O71" s="16" t="str">
        <x:v>Quote required</x:v>
      </x:c>
      <x:c r="P71" s="16" t="str">
        <x:v>High</x:v>
      </x:c>
      <x:c r="Q71" s="16" t="str">
        <x:v>Menus roughly USD 90-139 pp; estate fee/mandatory fees quote-only</x:v>
      </x:c>
      <x:c r="R71" s="16" t="str">
        <x:v>Eliminate: max 125, below required 150 — Reconsider only if list drops by 25.</x:v>
      </x:c>
    </x:row>
    <x:row r="72">
      <x:c r="A72" s="16" t="str">
        <x:v>Benmarl Winery</x:v>
      </x:c>
      <x:c r="B72" s="16" t="str">
        <x:v>User list</x:v>
      </x:c>
      <x:c r="C72" s="16" t="str">
        <x:v>D — eliminate / over cap</x:v>
      </x:c>
      <x:c r="D72" s="16" t="str">
        <x:v>United States</x:v>
      </x:c>
      <x:c r="E72" s="16" t="str">
        <x:v>New York - Marlboro</x:v>
      </x:c>
      <x:c r="F72" s="16" t="n">
        <x:v>150</x:v>
      </x:c>
      <x:c r="G72" s="16" t="str">
        <x:v>Conflicting third-party figures; current wedding capacity unverified</x:v>
      </x:c>
      <x:c r="H72" s="16" t="n">
        <x:v>0</x:v>
      </x:c>
      <x:c r="I72" s="16" t="str">
        <x:v>Unknown</x:v>
      </x:c>
      <x:c r="J72" s="16" t="str">
        <x:v>Unknown</x:v>
      </x:c>
      <x:c r="K72" s="61" t="str"/>
      <x:c r="L72" s="61" t="str"/>
      <x:c r="M72" s="61" t="str"/>
      <x:c r="N72" s="61" t="str"/>
      <x:c r="O72" s="16" t="str">
        <x:v>Quote required</x:v>
      </x:c>
      <x:c r="P72" s="16" t="str">
        <x:v>Very low</x:v>
      </x:c>
      <x:c r="Q72" s="16" t="str">
        <x:v>No current official wedding page</x:v>
      </x:c>
      <x:c r="R72" s="16" t="str">
        <x:v>Hold/remove until it confirms 150-person weddings — Sources conflict around 100 seated vs 200 standing.</x:v>
      </x:c>
    </x:row>
    <x:row r="73">
      <x:c r="A73" s="16" t="str">
        <x:v>Castello La Leccia</x:v>
      </x:c>
      <x:c r="B73" s="16" t="str">
        <x:v>User workbook</x:v>
      </x:c>
      <x:c r="C73" s="16" t="str">
        <x:v>D — eliminate / over cap</x:v>
      </x:c>
      <x:c r="D73" s="16" t="str">
        <x:v>Italy</x:v>
      </x:c>
      <x:c r="E73" s="16" t="str">
        <x:v>Chianti, Tuscany</x:v>
      </x:c>
      <x:c r="F73" s="16" t="n">
        <x:v>100</x:v>
      </x:c>
      <x:c r="G73" s="16" t="n">
        <x:v>60</x:v>
      </x:c>
      <x:c r="H73" s="16" t="n">
        <x:v>34</x:v>
      </x:c>
      <x:c r="I73" s="16" t="str">
        <x:v>Minimum three nights</x:v>
      </x:c>
      <x:c r="J73" s="16" t="str">
        <x:v>Exclusive castle buyout</x:v>
      </x:c>
      <x:c r="K73" s="61" t="str"/>
      <x:c r="L73" s="61" t="str"/>
      <x:c r="M73" s="61" t="str"/>
      <x:c r="N73" s="61" t="str"/>
      <x:c r="O73" s="16" t="str">
        <x:v>Quote required</x:v>
      </x:c>
      <x:c r="P73" s="16" t="str">
        <x:v>High on capacity</x:v>
      </x:c>
      <x:c r="Q73" s="16" t="str">
        <x:v>Current 2027 listing: about EUR 10,000/night, three-night minimum</x:v>
      </x:c>
      <x:c r="R73" s="16" t="str">
        <x:v>Eliminate for the 100-person abroad case — Published event capacity is about 60.</x:v>
      </x:c>
    </x:row>
    <x:row r="74">
      <x:c r="A74" s="16" t="str">
        <x:v>Pendry Natirar</x:v>
      </x:c>
      <x:c r="B74" s="16" t="str">
        <x:v>User list</x:v>
      </x:c>
      <x:c r="C74" s="16" t="str">
        <x:v>D — eliminate / over cap</x:v>
      </x:c>
      <x:c r="D74" s="16" t="str">
        <x:v>United States</x:v>
      </x:c>
      <x:c r="E74" s="16" t="str">
        <x:v>New Jersey - Peapack-Gladstone</x:v>
      </x:c>
      <x:c r="F74" s="16" t="n">
        <x:v>150</x:v>
      </x:c>
      <x:c r="G74" s="16" t="n">
        <x:v>225</x:v>
      </x:c>
      <x:c r="H74" s="16" t="str"/>
      <x:c r="I74" s="16" t="str">
        <x:v>One-day reception by default; custom resort weekend events available</x:v>
      </x:c>
      <x:c r="J74" s="16" t="str">
        <x:v>Private wedding spaces; full 68-room resort buyout quote-only</x:v>
      </x:c>
      <x:c r="K74" s="61" t="n">
        <x:v>110000</x:v>
      </x:c>
      <x:c r="L74" s="61" t="n">
        <x:v>135000</x:v>
      </x:c>
      <x:c r="M74" s="61" t="n">
        <x:v>170000</x:v>
      </x:c>
      <x:c r="N74" s="61" t="n">
        <x:v>185000</x:v>
      </x:c>
      <x:c r="O74" s="16" t="str">
        <x:v>Over $120k</x:v>
      </x:c>
      <x:c r="P74" s="16" t="str">
        <x:v>High</x:v>
      </x:c>
      <x:c r="Q74" s="16" t="str">
        <x:v>Rental USD 3,000-10,000; F&amp;B minimum USD 50,000-90,000; meals USD 385-575 pp; 26% service</x:v>
      </x:c>
      <x:c r="R74" s="16" t="str">
        <x:v>Likely over USD 120k for 150 — Current official Grand Ballroom capacity is 225.</x:v>
      </x:c>
    </x:row>
    <x:row r="75">
      <x:c r="A75" s="16" t="str">
        <x:v>Villa Catureglio</x:v>
      </x:c>
      <x:c r="B75" s="16" t="str">
        <x:v>User workbook</x:v>
      </x:c>
      <x:c r="C75" s="16" t="str">
        <x:v>D — eliminate / over cap</x:v>
      </x:c>
      <x:c r="D75" s="16" t="str">
        <x:v>Italy</x:v>
      </x:c>
      <x:c r="E75" s="16" t="str">
        <x:v>Tuscany</x:v>
      </x:c>
      <x:c r="F75" s="16" t="n">
        <x:v>100</x:v>
      </x:c>
      <x:c r="G75" s="16" t="n">
        <x:v>80</x:v>
      </x:c>
      <x:c r="H75" s="16" t="n">
        <x:v>41</x:v>
      </x:c>
      <x:c r="I75" s="16" t="str">
        <x:v>3 nights</x:v>
      </x:c>
      <x:c r="J75" s="16" t="str">
        <x:v>Exclusive property rental</x:v>
      </x:c>
      <x:c r="K75" s="61" t="str"/>
      <x:c r="L75" s="61" t="str"/>
      <x:c r="M75" s="61" t="str"/>
      <x:c r="N75" s="61" t="str"/>
      <x:c r="O75" s="16" t="str">
        <x:v>Quote required</x:v>
      </x:c>
      <x:c r="P75" s="16" t="str">
        <x:v>high on capacity; medium on price inclusions</x:v>
      </x:c>
      <x:c r="Q75" s="16" t="str">
        <x:v>2027-28 from EUR 20,000 including exclusive three-night rental and accommodation for 41</x:v>
      </x:c>
      <x:c r="R75" s="16" t="str">
        <x:v>Eliminate for the 100-person plan: the official wedding page caps receptions/dinners at 80. — Contacted 7/26; published 80-person maximum still fails the 100-person abroad requirement.</x:v>
      </x:c>
    </x:row>
  </x:sheetData>
  <x:mergeCells>
    <x:mergeCell ref="A1:R2"/>
    <x:mergeCell ref="A3:R3"/>
  </x:mergeCells>
  <x:conditionalFormatting sqref="A5:R75">
    <x:cfRule type="expression" dxfId="6" priority="1">
      <x:formula>MOD(ROW(),2)=0</x:formula>
    </x:cfRule>
  </x:conditionalFormatting>
  <x:conditionalFormatting sqref="O5:O75">
    <x:cfRule type="containsText" dxfId="7" priority="2" operator="containsText" text="Likely under"/>
    <x:cfRule type="containsText" dxfId="8" priority="3" operator="containsText" text="$100k–$120k"/>
    <x:cfRule type="containsText" dxfId="9" priority="4" operator="containsText" text="Over"/>
  </x:conditionalFormatting>
  <x:pageMargins left="0.7" right="0.7" top="0.75" bottom="0.75" header="0.3" footer="0.3"/>
  <x:tableParts count="1">
    <x:tablePart xmlns:r="http://schemas.openxmlformats.org/officeDocument/2006/relationships" r:id="Ra27d183f1b0941b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17" hidden="0" customWidth="1"/>
    <x:col min="3" max="3" width="56" hidden="0" customWidth="1"/>
    <x:col min="4" max="4" width="42" hidden="0" customWidth="1"/>
    <x:col min="5" max="5" width="44" hidden="0" customWidth="1"/>
    <x:col min="6" max="6" width="22" hidden="0" customWidth="1"/>
    <x:col min="7" max="7" width="38" hidden="0" customWidth="1"/>
    <x:col min="8" max="8" width="46" hidden="0" customWidth="1"/>
    <x:col min="9" max="9" width="46" hidden="0" customWidth="1"/>
    <x:col min="10" max="10" width="42" hidden="0" customWidth="1"/>
    <x:col min="11" max="11" width="38" hidden="0" customWidth="1"/>
    <x:col min="12" max="12" width="34" hidden="0" customWidth="1"/>
    <x:col min="13" max="13" width="52" hidden="0" customWidth="1"/>
    <x:col min="14" max="14" width="18" hidden="0" customWidth="1"/>
  </x:cols>
  <x:sheetData>
    <x:row r="1" ht="34" customHeight="1">
      <x:c r="A1" s="3" t="str">
        <x:v>Package inclusion matrix</x:v>
      </x:c>
      <x:c r="B1" s="3" t="str">
        <x:v>Package inclusion matrix</x:v>
      </x:c>
      <x:c r="C1" s="3" t="str">
        <x:v>Package inclusion matrix</x:v>
      </x:c>
      <x:c r="D1" s="3" t="str">
        <x:v>Package inclusion matrix</x:v>
      </x:c>
      <x:c r="E1" s="3" t="str">
        <x:v>Package inclusion matrix</x:v>
      </x:c>
      <x:c r="F1" s="3" t="str">
        <x:v>Package inclusion matrix</x:v>
      </x:c>
      <x:c r="G1" s="3" t="str">
        <x:v>Package inclusion matrix</x:v>
      </x:c>
      <x:c r="H1" s="3" t="str">
        <x:v>Package inclusion matrix</x:v>
      </x:c>
      <x:c r="I1" s="3" t="str">
        <x:v>Package inclusion matrix</x:v>
      </x:c>
      <x:c r="J1" s="3" t="str">
        <x:v>Package inclusion matrix</x:v>
      </x:c>
      <x:c r="K1" s="3" t="str">
        <x:v>Package inclusion matrix</x:v>
      </x:c>
      <x:c r="L1" s="3" t="str">
        <x:v>Package inclusion matrix</x:v>
      </x:c>
      <x:c r="M1" s="3" t="str">
        <x:v>Package inclusion matrix</x:v>
      </x:c>
      <x:c r="N1" s="3" t="str">
        <x:v>Package inclusion matrix</x:v>
      </x:c>
    </x:row>
    <x:row r="2" ht="34" customHeight="1">
      <x:c r="A2" s="3" t="str">
        <x:v>Package inclusion matrix</x:v>
      </x:c>
      <x:c r="B2" s="3" t="str">
        <x:v>Package inclusion matrix</x:v>
      </x:c>
      <x:c r="C2" s="3" t="str">
        <x:v>Package inclusion matrix</x:v>
      </x:c>
      <x:c r="D2" s="3" t="str">
        <x:v>Package inclusion matrix</x:v>
      </x:c>
      <x:c r="E2" s="3" t="str">
        <x:v>Package inclusion matrix</x:v>
      </x:c>
      <x:c r="F2" s="3" t="str">
        <x:v>Package inclusion matrix</x:v>
      </x:c>
      <x:c r="G2" s="3" t="str">
        <x:v>Package inclusion matrix</x:v>
      </x:c>
      <x:c r="H2" s="3" t="str">
        <x:v>Package inclusion matrix</x:v>
      </x:c>
      <x:c r="I2" s="3" t="str">
        <x:v>Package inclusion matrix</x:v>
      </x:c>
      <x:c r="J2" s="3" t="str">
        <x:v>Package inclusion matrix</x:v>
      </x:c>
      <x:c r="K2" s="3" t="str">
        <x:v>Package inclusion matrix</x:v>
      </x:c>
      <x:c r="L2" s="3" t="str">
        <x:v>Package inclusion matrix</x:v>
      </x:c>
      <x:c r="M2" s="3" t="str">
        <x:v>Package inclusion matrix</x:v>
      </x:c>
      <x:c r="N2" s="3" t="str">
        <x:v>Package inclusion matrix</x:v>
      </x:c>
    </x:row>
    <x:row r="3" ht="30" customHeight="1">
      <x:c r="A3" s="7" t="str">
        <x:v>Direct answers to the comparison questions: vendors, décor, accommodations, transport, F&amp;B, fees, weekend events, curfew and exclusions. Blank/unknown means it was not responsibly verifiable publicly.</x:v>
      </x:c>
      <x:c r="B3" s="7" t="str">
        <x:v>Direct answers to the comparison questions: vendors, décor, accommodations, transport, F&amp;B, fees, weekend events, curfew and exclusions. Blank/unknown means it was not responsibly verifiable publicly.</x:v>
      </x:c>
      <x:c r="C3" s="7" t="str">
        <x:v>Direct answers to the comparison questions: vendors, décor, accommodations, transport, F&amp;B, fees, weekend events, curfew and exclusions. Blank/unknown means it was not responsibly verifiable publicly.</x:v>
      </x:c>
      <x:c r="D3" s="7" t="str">
        <x:v>Direct answers to the comparison questions: vendors, décor, accommodations, transport, F&amp;B, fees, weekend events, curfew and exclusions. Blank/unknown means it was not responsibly verifiable publicly.</x:v>
      </x:c>
      <x:c r="E3" s="7" t="str">
        <x:v>Direct answers to the comparison questions: vendors, décor, accommodations, transport, F&amp;B, fees, weekend events, curfew and exclusions. Blank/unknown means it was not responsibly verifiable publicly.</x:v>
      </x:c>
      <x:c r="F3" s="7" t="str">
        <x:v>Direct answers to the comparison questions: vendors, décor, accommodations, transport, F&amp;B, fees, weekend events, curfew and exclusions. Blank/unknown means it was not responsibly verifiable publicly.</x:v>
      </x:c>
      <x:c r="G3" s="7" t="str">
        <x:v>Direct answers to the comparison questions: vendors, décor, accommodations, transport, F&amp;B, fees, weekend events, curfew and exclusions. Blank/unknown means it was not responsibly verifiable publicly.</x:v>
      </x:c>
      <x:c r="H3" s="7" t="str">
        <x:v>Direct answers to the comparison questions: vendors, décor, accommodations, transport, F&amp;B, fees, weekend events, curfew and exclusions. Blank/unknown means it was not responsibly verifiable publicly.</x:v>
      </x:c>
      <x:c r="I3" s="7" t="str">
        <x:v>Direct answers to the comparison questions: vendors, décor, accommodations, transport, F&amp;B, fees, weekend events, curfew and exclusions. Blank/unknown means it was not responsibly verifiable publicly.</x:v>
      </x:c>
      <x:c r="J3" s="7" t="str">
        <x:v>Direct answers to the comparison questions: vendors, décor, accommodations, transport, F&amp;B, fees, weekend events, curfew and exclusions. Blank/unknown means it was not responsibly verifiable publicly.</x:v>
      </x:c>
      <x:c r="K3" s="7" t="str">
        <x:v>Direct answers to the comparison questions: vendors, décor, accommodations, transport, F&amp;B, fees, weekend events, curfew and exclusions. Blank/unknown means it was not responsibly verifiable publicly.</x:v>
      </x:c>
      <x:c r="L3" s="7" t="str">
        <x:v>Direct answers to the comparison questions: vendors, décor, accommodations, transport, F&amp;B, fees, weekend events, curfew and exclusions. Blank/unknown means it was not responsibly verifiable publicly.</x:v>
      </x:c>
      <x:c r="M3" s="7" t="str">
        <x:v>Direct answers to the comparison questions: vendors, décor, accommodations, transport, F&amp;B, fees, weekend events, curfew and exclusions. Blank/unknown means it was not responsibly verifiable publicly.</x:v>
      </x:c>
      <x:c r="N3" s="7" t="str">
        <x:v>Direct answers to the comparison questions: vendors, décor, accommodations, transport, F&amp;B, fees, weekend events, curfew and exclusions. Blank/unknown means it was not responsibly verifiable publicly.</x:v>
      </x:c>
    </x:row>
    <x:row r="4" ht="34" customHeight="1">
      <x:c r="A4" s="12" t="str">
        <x:v>Venue</x:v>
      </x:c>
      <x:c r="B4" s="12" t="str">
        <x:v>Completeness</x:v>
      </x:c>
      <x:c r="C4" s="12" t="str">
        <x:v>Included vendors / package</x:v>
      </x:c>
      <x:c r="D4" s="12" t="str">
        <x:v>Décor included?</x:v>
      </x:c>
      <x:c r="E4" s="12" t="str">
        <x:v>Accommodation included?</x:v>
      </x:c>
      <x:c r="F4" s="12" t="str">
        <x:v>Onsite sleeping</x:v>
      </x:c>
      <x:c r="G4" s="12" t="str">
        <x:v>Transport included?</x:v>
      </x:c>
      <x:c r="H4" s="12" t="str">
        <x:v>F&amp;B / minimum</x:v>
      </x:c>
      <x:c r="I4" s="12" t="str">
        <x:v>Tax, service, tip / hidden fees</x:v>
      </x:c>
      <x:c r="J4" s="12" t="str">
        <x:v>Welcome + farewell</x:v>
      </x:c>
      <x:c r="K4" s="12" t="str">
        <x:v>Afterparty</x:v>
      </x:c>
      <x:c r="L4" s="12" t="str">
        <x:v>Curfew / noise</x:v>
      </x:c>
      <x:c r="M4" s="12" t="str">
        <x:v>Main exclusions</x:v>
      </x:c>
      <x:c r="N4" s="12" t="str">
        <x:v>Source confidence</x:v>
      </x:c>
    </x:row>
    <x:row r="5">
      <x:c r="A5" s="16" t="str">
        <x:v>Borgo Divino</x:v>
      </x:c>
      <x:c r="B5" s="16" t="str">
        <x:v>Low / quote-dependent</x:v>
      </x:c>
      <x:c r="C5" s="16" t="str">
        <x:v>In-house restaurant, wedding-planning team, menu/decor/location/activity planning, trusted suppliers, rooms/suites, pizza parties and estate activities are available</x:v>
      </x:c>
      <x:c r="D5" s="16" t="str">
        <x:v>Planning team handles decor but public material does not say base level included</x:v>
      </x:c>
      <x:c r="E5" s="16" t="str">
        <x:v>Official site says 23 rooms/suites; directory says 20 rooms and 73 beds. Confirm current contracted bed count and sofa-bed use</x:v>
      </x:c>
      <x:c r="F5" s="16" t="n">
        <x:v>73</x:v>
      </x:c>
      <x:c r="G5" s="16" t="str">
        <x:v>Available service, not stated included</x:v>
      </x:c>
      <x:c r="H5" s="16" t="str">
        <x:v>Exclusive in-house catering; menu from EUR 90 pp includes welcome aperitivo, buffet starter, first, main/side, cake and wine according to directory</x:v>
      </x:c>
      <x:c r="I5" s="16" t="str">
        <x:v>Not disclosed</x:v>
      </x:c>
      <x:c r="J5" s="16" t="str">
        <x:v>In-house restaurant can provide pizza/welcome and other meals; package inclusion quote-only</x:v>
      </x:c>
      <x:c r="K5" s="16" t="str">
        <x:v>Cellar party space; open bar fixed quantity/time-limited</x:v>
      </x:c>
      <x:c r="L5" s="16" t="str">
        <x:v>Directory lists midnight, while a prior real wedding reported dancing later; obtain written indoor-afterparty terms</x:v>
      </x:c>
      <x:c r="M5" s="16" t="str">
        <x:v>Published buyout price, exact extra-event meals, transport, remaining 27 beds, base florals/decor, music, photo/HMU, VAT/service and open-bar duration</x:v>
      </x:c>
      <x:c r="N5" s="16" t="str">
        <x:v>low-medium</x:v>
      </x:c>
    </x:row>
    <x:row r="6">
      <x:c r="A6" s="16" t="str">
        <x:v>Castello di Petrata</x:v>
      </x:c>
      <x:c r="B6" s="16" t="str">
        <x:v>High</x:v>
      </x:c>
      <x:c r="C6" s="16" t="str">
        <x:v>22-room hotel exclusive use, breakfast, spa/pool/jacuzzi/tennis, welcome pizza dinner with two-hour drinks and live duo, wedding reception food/wine/cake/classic mise en place, two-hour basic open bar, lighting and concierge; VAT included</x:v>
      </x:c>
      <x:c r="D6" s="16" t="str">
        <x:v>Classic tables, linens, chairs, mise en place and lighting included; flowers and upgraded styling not included</x:v>
      </x:c>
      <x:c r="E6" s="16" t="str">
        <x:v>Hotel up to 60 plus 20 two-person glamping tents for 40; glamping adds EUR 3,200 for two nights or EUR 4,800 for three</x:v>
      </x:c>
      <x:c r="F6" s="16" t="n">
        <x:v>100</x:v>
      </x:c>
      <x:c r="G6" s="16" t="str">
        <x:v>Private/group transfers can be organized, not included</x:v>
      </x:c>
      <x:c r="H6" s="16" t="str">
        <x:v>Bundled in package; extra bar after two hours is consumption/cash bar. A-la-carte reception rates also published</x:v>
      </x:c>
      <x:c r="I6" s="16" t="str">
        <x:v>VAT included; confirm gratuities and possible waste-disposal charge</x:v>
      </x:c>
      <x:c r="J6" s="16" t="str">
        <x:v>Two-night package includes welcome pizza party; three-night packages add farewell BBQ/pool party but are materially more expensive</x:v>
      </x:c>
      <x:c r="K6" s="16" t="str">
        <x:v>Basic open bar for two hours included; no public curfew, and music/DJ beyond included welcome duo/speakers is extra</x:v>
      </x:c>
      <x:c r="L6" s="16" t="str">
        <x:v>Not public; obtain written indoor/outdoor music end times</x:v>
      </x:c>
      <x:c r="M6" s="16" t="str">
        <x:v>Flowers, wedding DJ/band, airport/local transfers, officiant, photo/HMU, extra bar, upgraded decor and possible waste disposal</x:v>
      </x:c>
      <x:c r="N6" s="16" t="str">
        <x:v>high on venue/package; medium on external-vendor allowance</x:v>
      </x:c>
    </x:row>
    <x:row r="7">
      <x:c r="A7" s="16" t="str">
        <x:v>Diacceroni Weddings</x:v>
      </x:c>
      <x:c r="B7" s="16" t="str">
        <x:v>Low / quote-dependent</x:v>
      </x:c>
      <x:c r="C7" s="16" t="str">
        <x:v>Full planning, in-house chefs, in-house florist, styling/design, lighting, furniture, stationery, entertainment coordination, guest care and transport coordination are available; typical itinerary is Tuscan welcome dinner, wedding ceremony/cocktail/dinner/cake/open bar, and departure brunch</x:v>
      </x:c>
      <x:c r="D7" s="16" t="str">
        <x:v>In-house florist, lighting, furnishings and stationery are available, but public materials do not say which level is included in the package price</x:v>
      </x:c>
      <x:c r="E7" s="16" t="str">
        <x:v>Officially can accommodate up to 150, but guests may be split among villas/farmhouses; minimum two nights</x:v>
      </x:c>
      <x:c r="F7" s="16" t="n">
        <x:v>150</x:v>
      </x:c>
      <x:c r="G7" s="16" t="str">
        <x:v>Can organize airport transfers and on-estate transport; not stated included</x:v>
      </x:c>
      <x:c r="H7" s="16" t="str">
        <x:v>In-house catering; no public minimum or per-person wedding price</x:v>
      </x:c>
      <x:c r="I7" s="16" t="str">
        <x:v>Not disclosed for wedding packages; public lodging rates have final cleaning and some AC supplements</x:v>
      </x:c>
      <x:c r="J7" s="16" t="str">
        <x:v>Typical three-day itinerary explicitly supports welcome Tuscan dinner and departure brunch; exact inclusions quote-only</x:v>
      </x:c>
      <x:c r="K7" s="16" t="str">
        <x:v>Typical program includes music and open bar; curfew and duration not public</x:v>
      </x:c>
      <x:c r="L7" s="16" t="str">
        <x:v>Not public</x:v>
      </x:c>
      <x:c r="M7" s="16" t="str">
        <x:v>Public brochure does not commercially separate included versus optional flowers/decor, alcohol duration, music, transfers, photo/video/HMU, officiant, VAT/service or extra estate shuttles</x:v>
      </x:c>
      <x:c r="N7" s="16" t="str">
        <x:v>low</x:v>
      </x:c>
    </x:row>
    <x:row r="8">
      <x:c r="A8" s="16" t="str">
        <x:v>Finca Santa Fe</x:v>
      </x:c>
      <x:c r="B8" s="16" t="str">
        <x:v>High</x:v>
      </x:c>
      <x:c r="C8" s="16" t="str">
        <x:v>Three nights for 12; Cava/canapés; celebrant and blessing; four-course wedding banquet with half bottle of wine per person; DJ; evening buffet; pool party and BBQ; hot/cold breakfast; planning and in-house chef</x:v>
      </x:c>
      <x:c r="D8" s="16" t="str">
        <x:v>Venue can arrange flowers, décor and cake, but the published package does not clearly say they are included</x:v>
      </x:c>
      <x:c r="E8" s="16" t="str">
        <x:v>12 onsite; the remaining 88 need nearby hotels</x:v>
      </x:c>
      <x:c r="F8" s="16" t="n">
        <x:v>12</x:v>
      </x:c>
      <x:c r="G8" s="16" t="str">
        <x:v>Not included; transfers for offsite guests are a meaningful gap</x:v>
      </x:c>
      <x:c r="H8" s="16" t="str">
        <x:v>Wedding meal and several weekend meals bundled; fuller bar and a welcome party at a nearby hotel are extra</x:v>
      </x:c>
      <x:c r="I8" s="16" t="str">
        <x:v>VAT, staffing/service and gratuity treatment are not explicit on the package page</x:v>
      </x:c>
      <x:c r="J8" s="16" t="str">
        <x:v>Pool party/BBQ and breakfast included; recommended hotel welcome party starts around €30 per person and is extra</x:v>
      </x:c>
      <x:c r="K8" s="16" t="str">
        <x:v>DJ and evening buffet included; exact cutoff must be contracted</x:v>
      </x:c>
      <x:c r="L8" s="16" t="str">
        <x:v>Not publicly stated</x:v>
      </x:c>
      <x:c r="M8" s="16" t="str">
        <x:v>Most guest lodging, transport, fuller bar, photography/HMU and any flowers/design not confirmed in writing</x:v>
      </x:c>
      <x:c r="N8" s="16" t="str">
        <x:v>High on official package; medium on total</x:v>
      </x:c>
    </x:row>
    <x:row r="9">
      <x:c r="A9" s="16" t="str">
        <x:v>La Pousterle de Sabran</x:v>
      </x:c>
      <x:c r="B9" s="16" t="str">
        <x:v>Medium-high</x:v>
      </x:c>
      <x:c r="C9" s="16" t="str">
        <x:v>Entire village, 18 lodging units/100 beds, reception room, ceremony site, pool and outdoor activities, guest/vendor welcome, cleaning and organization assistance</x:v>
      </x:c>
      <x:c r="D9" s="16" t="str">
        <x:v>Not included; couple may choose external florist and other vendors</x:v>
      </x:c>
      <x:c r="E9" s="16" t="str">
        <x:v>All 100 guests can sleep onsite within the published weekend rental</x:v>
      </x:c>
      <x:c r="F9" s="16" t="n">
        <x:v>100</x:v>
      </x:c>
      <x:c r="G9" s="16" t="str">
        <x:v>Airport transfer is not included; approximately 30 minutes from Avignon TGV, 45 minutes from Nimes and about one hour from Montpellier by road</x:v>
      </x:c>
      <x:c r="H9" s="16" t="str">
        <x:v>No wedding food-and-beverage minimum published; house or outside caterer may be used</x:v>
      </x:c>
      <x:c r="I9" s="16" t="str">
        <x:v>Venue and lodging are TTC, meaning tax included; catering VAT, staffing, service charge and gratuity remain quote-dependent</x:v>
      </x:c>
      <x:c r="J9" s="16" t="str">
        <x:v>Welcome aperitif and Sunday brunch are natural within the rental; wording suggests house brunch in some formulas, but base-rate food inclusions are unclear</x:v>
      </x:c>
      <x:c r="K9" s="16" t="str">
        <x:v>Site describes dancing until the end of the night; no hard time is published</x:v>
      </x:c>
      <x:c r="L9" s="16" t="str">
        <x:v>No published hard curfew; obtain written sound terms</x:v>
      </x:c>
      <x:c r="M9" s="16" t="str">
        <x:v>Catering/drinks unless separately quoted, planner beyond organization assistance, florals/decor, music, airport transport, photography and hair/makeup</x:v>
      </x:c>
      <x:c r="N9" s="16" t="str">
        <x:v>High for venue/lodging price; medium for total</x:v>
      </x:c>
    </x:row>
    <x:row r="10">
      <x:c r="A10" s="16" t="str">
        <x:v>Quinta d'Anta Hotel Rural</x:v>
      </x:c>
      <x:c r="B10" s="16" t="str">
        <x:v>Medium-high</x:v>
      </x:c>
      <x:c r="C10" s="16" t="str">
        <x:v>Welcome drink and appetizer buffet, soup/fish/meat/dessert banquet, drinks during banquet, open bar, event room and adjacent spaces, chairs, tables, linens and tableware</x:v>
      </x:c>
      <x:c r="D10" s="16" t="str">
        <x:v>Standard furniture and tableware included; decoration and stationery excluded</x:v>
      </x:c>
      <x:c r="E10" s="16" t="str">
        <x:v>18 hotel rooms with breakfast; room buyout is additional</x:v>
      </x:c>
      <x:c r="F10" s="16" t="str">
        <x:v>18 rooms; exact people capacity not published</x:v>
      </x:c>
      <x:c r="G10" s="16" t="str">
        <x:v>Not included; Porto is approximately 90 minutes and Lisbon about two hours by road</x:v>
      </x:c>
      <x:c r="H10" s="16" t="str">
        <x:v>Menus from EUR 80 per person with open bar included; exact minimum covers and duration must be confirmed</x:v>
      </x:c>
      <x:c r="I10" s="16" t="str">
        <x:v>VAT, staffing supplements, service charge and gratuity are not explicit in the published materials</x:v>
      </x:c>
      <x:c r="J10" s="16" t="str">
        <x:v>Ceremony, beach, pool and BBQ events are available as add-ons</x:v>
      </x:c>
      <x:c r="K10" s="16" t="str">
        <x:v>Current listing reports no celebration time limit; contract confirmation required</x:v>
      </x:c>
      <x:c r="L10" s="16" t="str">
        <x:v>No time limit reported by current listing; not verified in a venue contract</x:v>
      </x:c>
      <x:c r="M10" s="16" t="str">
        <x:v>Decoration, stationery, music, AV, music copyright, planner, cake, photography, hair/makeup, childcare, transport, guestrooms and extra events</x:v>
      </x:c>
      <x:c r="N10" s="16" t="str">
        <x:v>Medium</x:v>
      </x:c>
    </x:row>
    <x:row r="11">
      <x:c r="A11" s="16" t="str">
        <x:v>Quinta da Bichinha / Quinta de São Gonçalo</x:v>
      </x:c>
      <x:c r="B11" s="16" t="str">
        <x:v>Medium-high</x:v>
      </x:c>
      <x:c r="C11" s="16" t="str">
        <x:v>Exclusive venue and two-night accommodation for 50; cocktail/canapés/drinks; four-course meal; buffet; coffee/digestifs; open bar; cake and sparkling-wine ceremony; basic table setup; stationery; three vendor meals</x:v>
      </x:c>
      <x:c r="D11" s="16" t="str">
        <x:v>Basic table setup and stationery included; the cached official package did not clearly confirm full florals or upgraded styling</x:v>
      </x:c>
      <x:c r="E11" s="16" t="str">
        <x:v>50 sleeping guests stated as included; rooms for the other 50 require quote or offsite lodging</x:v>
      </x:c>
      <x:c r="F11" s="16" t="str">
        <x:v>Package states 50 sleeping guests; official room descriptions conflict and need a dated rooming list</x:v>
      </x:c>
      <x:c r="G11" s="16" t="str">
        <x:v>Not included; local shuttle strategy needed from Lisbon and for offsite guests</x:v>
      </x:c>
      <x:c r="H11" s="16" t="str">
        <x:v>Bundled for the first 50; €129 for each additional wedding guest excluding accommodation</x:v>
      </x:c>
      <x:c r="I11" s="16" t="str">
        <x:v>Published package states VAT included; gratuity, card/bank fees and optional staffing need confirmation</x:v>
      </x:c>
      <x:c r="J11" s="16" t="str">
        <x:v>Two-night buyout supports both, but food for pre/post events is not clearly included</x:v>
      </x:c>
      <x:c r="K11" s="16" t="str">
        <x:v>Open bar included; contractual end time and amplified-music policy are not public</x:v>
      </x:c>
      <x:c r="L11" s="16" t="str">
        <x:v>Not publicly stated</x:v>
      </x:c>
      <x:c r="M11" s="16" t="str">
        <x:v>Rooms for guests 51–100, pre/post-event meals, transport, photography, HMU, and any DJ/floral/planning items not confirmed in the written 2027 proposal</x:v>
      </x:c>
      <x:c r="N11" s="16" t="str">
        <x:v>Medium-high on package price; medium on total</x:v>
      </x:c>
    </x:row>
    <x:row r="12">
      <x:c r="A12" s="16" t="str">
        <x:v>SPAO Borgo San Pietro Aquaeortus</x:v>
      </x:c>
      <x:c r="B12" s="16" t="str">
        <x:v>Medium-high</x:v>
      </x:c>
      <x:c r="C12" s="16" t="str">
        <x:v>Accommodation; welcome Prosecco; pizza party; breakfasts; light lunch; wedding dinner; one-hour open bar; pool BBQ; chairs; lighting; planner support and in-house chef</x:v>
      </x:c>
      <x:c r="D12" s="16" t="str">
        <x:v>Chairs and lighting included; florals and bespoke styling appear extra</x:v>
      </x:c>
      <x:c r="E12" s="16" t="str">
        <x:v>23 suites and published capacity for up to 100 onsite</x:v>
      </x:c>
      <x:c r="F12" s="16" t="n">
        <x:v>100</x:v>
      </x:c>
      <x:c r="G12" s="16" t="str">
        <x:v>Not included; group transfers need a quote</x:v>
      </x:c>
      <x:c r="H12" s="16" t="str">
        <x:v>Weekend food is largely bundled at the starting tier; bar duration and 100-person increment require quote</x:v>
      </x:c>
      <x:c r="I12" s="16" t="str">
        <x:v>VAT/service/gratuity detail should be itemized in a 2027/28 proposal</x:v>
      </x:c>
      <x:c r="J12" s="16" t="str">
        <x:v>Pizza party, breakfasts, light lunch and pool BBQ included</x:v>
      </x:c>
      <x:c r="K12" s="16" t="str">
        <x:v>Possible; one-hour open bar is included, later hours and music cutoff need quote</x:v>
      </x:c>
      <x:c r="L12" s="16" t="str">
        <x:v>Not publicly stated</x:v>
      </x:c>
      <x:c r="M12" s="16" t="str">
        <x:v>100-person price increment, florals, music/DJ, extended bar, transfers, officiant, photo/HMU and unknown fee items</x:v>
      </x:c>
      <x:c r="N12" s="16" t="str">
        <x:v>Medium-high on scope; medium on 100-person price</x:v>
      </x:c>
    </x:row>
    <x:row r="13">
      <x:c r="A13" s="16" t="str">
        <x:v>Bear Brook Valley</x:v>
      </x:c>
      <x:c r="B13" s="16" t="str">
        <x:v>Medium-high</x:v>
      </x:c>
      <x:c r="C13" s="16" t="str">
        <x:v>Coordinator, valet, suites/attendants, extensive cocktail food, dinner, top-shelf bar, cake, rentals/linens/tableware, lighting and staff</x:v>
      </x:c>
      <x:c r="D13" s="16" t="str">
        <x:v>Built-in lighting/basic table elements; florals custom decor extra</x:v>
      </x:c>
      <x:c r="E13" s="16" t="str">
        <x:v>No onsite; partner house sleeps 21 separately</x:v>
      </x:c>
      <x:c r="F13" s="16" t="n">
        <x:v>0</x:v>
      </x:c>
      <x:c r="G13" s="16" t="str">
        <x:v>Valet/property carts included; shuttle not</x:v>
      </x:c>
      <x:c r="H13" s="16" t="str">
        <x:v>120 guests</x:v>
      </x:c>
      <x:c r="I13" s="16" t="str">
        <x:v>Official says no added service fee; confirm tax/gratuity</x:v>
      </x:c>
      <x:c r="J13" s="16" t="str">
        <x:v>Not bundled</x:v>
      </x:c>
      <x:c r="K13" s="16" t="str">
        <x:v>Available separately</x:v>
      </x:c>
      <x:c r="L13" s="16" t="str">
        <x:v>Not public</x:v>
      </x:c>
      <x:c r="M13" s="16" t="str">
        <x:v>Lodging, shuttle, florals, photo/video, music, beauty and upgrades</x:v>
      </x:c>
      <x:c r="N13" s="16" t="str">
        <x:v>High</x:v>
      </x:c>
    </x:row>
    <x:row r="14">
      <x:c r="A14" s="16" t="str">
        <x:v>Blooming Hill Farm</x:v>
      </x:c>
      <x:c r="B14" s="16" t="str">
        <x:v>Low / quote-dependent</x:v>
      </x:c>
      <x:c r="C14" s="16" t="str">
        <x:v>Planning/coordination, in-house F&amp;B/staff, sailcloth tent infrastructure, ceremony/rain plan, rentals/tabletop, restrooms, lighting, cart and house decor</x:v>
      </x:c>
      <x:c r="D14" s="16" t="str">
        <x:v>Seasonal farm decor, linens/candles/menus/table numbers/signage/arbors/furniture included choices; personal florals extra</x:v>
      </x:c>
      <x:c r="E14" s="16" t="str">
        <x:v>None</x:v>
      </x:c>
      <x:c r="F14" s="16" t="n">
        <x:v>0</x:v>
      </x:c>
      <x:c r="G14" s="16" t="str">
        <x:v>Property cart included; hotel shuttle extra</x:v>
      </x:c>
      <x:c r="H14" s="16" t="str">
        <x:v>100 guests Sat; exclusive in-house F&amp;B</x:v>
      </x:c>
      <x:c r="I14" s="16" t="str">
        <x:v>23% admin/staffing + 8.125% tax; gratuity discretionary</x:v>
      </x:c>
      <x:c r="J14" s="16" t="str">
        <x:v>Restaurant welcome event separate</x:v>
      </x:c>
      <x:c r="K14" s="16" t="str">
        <x:v>No standard onsite afterparty</x:v>
      </x:c>
      <x:c r="L14" s="16" t="str">
        <x:v>10 p.m.</x:v>
      </x:c>
      <x:c r="M14" s="16" t="str">
        <x:v>Lodging/shuttles/personal florals and creative vendors</x:v>
      </x:c>
      <x:c r="N14" s="16" t="str">
        <x:v>High</x:v>
      </x:c>
    </x:row>
    <x:row r="15">
      <x:c r="A15" s="16" t="str">
        <x:v>Brotherhood Winery</x:v>
      </x:c>
      <x:c r="B15" s="16" t="str">
        <x:v>Low / quote-dependent</x:v>
      </x:c>
      <x:c r="C15" s="16" t="str">
        <x:v>Grand Salon/winery spaces; current food/bar/rentals/staff terms unpublished</x:v>
      </x:c>
      <x:c r="D15" s="16" t="str">
        <x:v>Unknown</x:v>
      </x:c>
      <x:c r="E15" s="16" t="str">
        <x:v>None</x:v>
      </x:c>
      <x:c r="F15" s="16" t="n">
        <x:v>0</x:v>
      </x:c>
      <x:c r="G15" s="16" t="str">
        <x:v>Not included</x:v>
      </x:c>
      <x:c r="H15" s="16" t="str">
        <x:v>Unknown</x:v>
      </x:c>
      <x:c r="I15" s="16" t="str">
        <x:v>Unknown</x:v>
      </x:c>
      <x:c r="J15" s="16" t="str">
        <x:v>Not bundled</x:v>
      </x:c>
      <x:c r="K15" s="16" t="str">
        <x:v>Unknown</x:v>
      </x:c>
      <x:c r="L15" s="16" t="str">
        <x:v>Unknown</x:v>
      </x:c>
      <x:c r="M15" s="16" t="str">
        <x:v>Photography/video, entertainment, florals/decor, beauty and other items not confirmed in a written proposal</x:v>
      </x:c>
      <x:c r="N15" s="16" t="str">
        <x:v>Very low</x:v>
      </x:c>
    </x:row>
    <x:row r="16">
      <x:c r="A16" s="16" t="str">
        <x:v>Camp Puh'tok</x:v>
      </x:c>
      <x:c r="B16" s="16" t="str">
        <x:v>Low / quote-dependent</x:v>
      </x:c>
      <x:c r="C16" s="16" t="str">
        <x:v>All event/dining/meeting/lodging spaces; Fri rehearsal, Sat wedding, Sun brunch spaces</x:v>
      </x:c>
      <x:c r="D16" s="16" t="str">
        <x:v>Not included</x:v>
      </x:c>
      <x:c r="E16" s="16" t="str">
        <x:v>Heated/AC cabins for up to 180 included as spaces</x:v>
      </x:c>
      <x:c r="F16" s="16" t="n">
        <x:v>180</x:v>
      </x:c>
      <x:c r="G16" s="16" t="str">
        <x:v>Not included</x:v>
      </x:c>
      <x:c r="H16" s="16" t="str">
        <x:v>None public; outside F&amp;B</x:v>
      </x:c>
      <x:c r="I16" s="16" t="str">
        <x:v>Unknown</x:v>
      </x:c>
      <x:c r="J16" s="16" t="str">
        <x:v>Spaces included; meals/service extra</x:v>
      </x:c>
      <x:c r="K16" s="16" t="str">
        <x:v>Possible; limits unknown</x:v>
      </x:c>
      <x:c r="L16" s="16" t="str">
        <x:v>Unknown</x:v>
      </x:c>
      <x:c r="M16" s="16" t="str">
        <x:v>All F&amp;B, most rentals/staff/decor/planning/transport/creative vendors; activities extra</x:v>
      </x:c>
      <x:c r="N16" s="16" t="str">
        <x:v>High for rental; medium total</x:v>
      </x:c>
    </x:row>
    <x:row r="17">
      <x:c r="A17" s="16" t="str">
        <x:v>Chateau Sentout</x:v>
      </x:c>
      <x:c r="B17" s="16" t="str">
        <x:v>Low / quote-dependent</x:v>
      </x:c>
      <x:c r="C17" s="16" t="str">
        <x:v>24 bedrooms/50 beds, reception room, two dance spaces, Berber tent and outdoor areas, caterer kitchens, resident kitchens, lounges, terrace, courtyard, chapel, heated pool, tables, chairs, garden chairs, linens and tourism tax</x:v>
      </x:c>
      <x:c r="D17" s="16" t="str">
        <x:v>Furniture and linens included; florals, lighting upgrades and styling excluded</x:v>
      </x:c>
      <x:c r="E17" s="16" t="str">
        <x:v>50 beds included; approximately 50 guests need offsite rooms</x:v>
      </x:c>
      <x:c r="F17" s="16" t="n">
        <x:v>50</x:v>
      </x:c>
      <x:c r="G17" s="16" t="str">
        <x:v>Not included; Bordeaux Airport is approximately 35-45 minutes away and offsite shuttles are needed</x:v>
      </x:c>
      <x:c r="H17" s="16" t="str">
        <x:v>No fixed minimum published; venue offers catering/coordination packages on request and permits free supplier choice</x:v>
      </x:c>
      <x:c r="I17" s="16" t="str">
        <x:v>Tourism tax and linens included; VAT, final-cleaning option, service charge and gratuity require confirmation</x:v>
      </x:c>
      <x:c r="J17" s="16" t="str">
        <x:v>Three-night rental supports both; food, drinks and staffing are additional</x:v>
      </x:c>
      <x:c r="K17" s="16" t="str">
        <x:v>Two dance spaces support an afterparty, but no formal sound end time is published</x:v>
      </x:c>
      <x:c r="L17" s="16" t="str">
        <x:v>Unknown</x:v>
      </x:c>
      <x:c r="M17" s="16" t="str">
        <x:v>Catering/drinks, planner, florals/decor, entertainment, transport, offsite rooms, photography, hair/makeup and possibly final cleaning</x:v>
      </x:c>
      <x:c r="N17" s="16" t="str">
        <x:v>High for venue price; medium for total</x:v>
      </x:c>
    </x:row>
    <x:row r="18">
      <x:c r="A18" s="16" t="str">
        <x:v>Crossed Keys Estate</x:v>
      </x:c>
      <x:c r="B18" s="16" t="str">
        <x:v>Low / quote-dependent</x:v>
      </x:c>
      <x:c r="C18" s="16" t="str">
        <x:v>In-house food, bar options, cake, coordinator, staff, core rentals/linens/tableware, setup, cleanup, valet and dressing spaces</x:v>
      </x:c>
      <x:c r="D18" s="16" t="str">
        <x:v>Exclusive Crossed Keys Designs floral/decor required and separately quoted</x:v>
      </x:c>
      <x:c r="E18" s="16" t="str">
        <x:v>11-room Crossed Keys Inn 1.5 miles away; separate</x:v>
      </x:c>
      <x:c r="F18" s="16" t="str"/>
      <x:c r="G18" s="16" t="str">
        <x:v>Valet included; hotel shuttle not</x:v>
      </x:c>
      <x:c r="H18" s="16" t="str">
        <x:v>100-guest minimum</x:v>
      </x:c>
      <x:c r="I18" s="16" t="str">
        <x:v>Tax/service/gratuity not public</x:v>
      </x:c>
      <x:c r="J18" s="16" t="str">
        <x:v>Separate</x:v>
      </x:c>
      <x:c r="K18" s="16" t="str">
        <x:v>Extension or casual afterparty available</x:v>
      </x:c>
      <x:c r="L18" s="16" t="str">
        <x:v>Midnight</x:v>
      </x:c>
      <x:c r="M18" s="16" t="str">
        <x:v>Lodging, shuttle, exclusive floral/decor, photo/video, music and beauty</x:v>
      </x:c>
      <x:c r="N18" s="16" t="str">
        <x:v>High</x:v>
      </x:c>
    </x:row>
    <x:row r="19">
      <x:c r="A19" s="16" t="str">
        <x:v>Frost Valley YMCA</x:v>
      </x:c>
      <x:c r="B19" s="16" t="str">
        <x:v>Low / quote-dependent</x:v>
      </x:c>
      <x:c r="C19" s="16" t="str">
        <x:v>Reception hall, indoor/outdoor ceremony, tables/chairs and lodging choice; exact staff/rentals/setup scope unclear</x:v>
      </x:c>
      <x:c r="D19" s="16" t="str">
        <x:v>Tables/chairs included; linens/tabletop/florals/lighting not itemized</x:v>
      </x:c>
      <x:c r="E19" s="16" t="str">
        <x:v>Hotel/inn/lodge/cabin/yurt/tent options; package says up to 150 but exact beds/nights unknown</x:v>
      </x:c>
      <x:c r="F19" s="16" t="n">
        <x:v>150</x:v>
      </x:c>
      <x:c r="G19" s="16" t="str">
        <x:v>No airport transport; internal mobility help</x:v>
      </x:c>
      <x:c r="H19" s="16" t="str">
        <x:v>No wedding menu; outside catering/bar likely; BYO alcohol no fee</x:v>
      </x:c>
      <x:c r="I19" s="16" t="str">
        <x:v>Unknown</x:v>
      </x:c>
      <x:c r="J19" s="16" t="str">
        <x:v>Geyer supports welcome/brunch; price unknown</x:v>
      </x:c>
      <x:c r="K19" s="16" t="str">
        <x:v>Geyer Hall capable; hours/cost unknown</x:v>
      </x:c>
      <x:c r="L19" s="16" t="str">
        <x:v>Unknown</x:v>
      </x:c>
      <x:c r="M19" s="16" t="str">
        <x:v>Outside F&amp;B, likely tabletop/decor and creative vendors</x:v>
      </x:c>
      <x:c r="N19" s="16" t="str">
        <x:v>Low-medium</x:v>
      </x:c>
    </x:row>
    <x:row r="20">
      <x:c r="A20" s="16" t="str">
        <x:v>Harbor Camps</x:v>
      </x:c>
      <x:c r="B20" s="16" t="str">
        <x:v>Low / quote-dependent</x:v>
      </x:c>
      <x:c r="C20" s="16" t="str">
        <x:v>Grounds, 200-person hall, kitchen, honeymoon suite, 27 bunk cabins, sports/waterfront/campfire infrastructure; no event services</x:v>
      </x:c>
      <x:c r="D20" s="16" t="str">
        <x:v>DIY; tables/benches present; linens/tabletop not</x:v>
      </x:c>
      <x:c r="E20" s="16" t="str">
        <x:v>Up to 200; honeymoon suite + rustic bunk cabins/shared baths</x:v>
      </x:c>
      <x:c r="F20" s="16" t="n">
        <x:v>200</x:v>
      </x:c>
      <x:c r="G20" s="16" t="str">
        <x:v>Not included; ~4 hours NYC</x:v>
      </x:c>
      <x:c r="H20" s="16" t="str">
        <x:v>None; outside/nonprofessional caterer after orientation</x:v>
      </x:c>
      <x:c r="I20" s="16" t="str">
        <x:v>Unknown; lifeguards/instructors extra</x:v>
      </x:c>
      <x:c r="J20" s="16" t="str">
        <x:v>Space included; meals separate</x:v>
      </x:c>
      <x:c r="K20" s="16" t="str">
        <x:v>Campfire/social events possible; cutoff unknown</x:v>
      </x:c>
      <x:c r="L20" s="16" t="str">
        <x:v>Unknown</x:v>
      </x:c>
      <x:c r="M20" s="16" t="str">
        <x:v>F&amp;B, staff, rentals/tabletop, decor, transport and creative vendors</x:v>
      </x:c>
      <x:c r="N20" s="16" t="str">
        <x:v>High for rental; medium total</x:v>
      </x:c>
    </x:row>
    <x:row r="21">
      <x:c r="A21" s="16" t="str">
        <x:v>Hopewell Valley Vineyards</x:v>
      </x:c>
      <x:c r="B21" s="16" t="str">
        <x:v>Low / quote-dependent</x:v>
      </x:c>
      <x:c r="C21" s="16" t="str">
        <x:v>In-house catering available; winery-wine purchase mandatory; non-wine alcohol through exclusive liquor vendor</x:v>
      </x:c>
      <x:c r="D21" s="16" t="str">
        <x:v>Not published</x:v>
      </x:c>
      <x:c r="E21" s="16" t="str">
        <x:v>None</x:v>
      </x:c>
      <x:c r="F21" s="16" t="n">
        <x:v>0</x:v>
      </x:c>
      <x:c r="G21" s="16" t="str">
        <x:v>Not included</x:v>
      </x:c>
      <x:c r="H21" s="16" t="str">
        <x:v>Mandatory wine minimum; amount not public</x:v>
      </x:c>
      <x:c r="I21" s="16" t="str">
        <x:v>Not disclosed</x:v>
      </x:c>
      <x:c r="J21" s="16" t="str">
        <x:v>Not bundled</x:v>
      </x:c>
      <x:c r="K21" s="16" t="str">
        <x:v>Unknown</x:v>
      </x:c>
      <x:c r="L21" s="16" t="str">
        <x:v>Third-party says music ends 11 p.m.</x:v>
      </x:c>
      <x:c r="M21" s="16" t="str">
        <x:v>Lodging, transport, decor, creative vendors and possibly tent/rentals</x:v>
      </x:c>
      <x:c r="N21" s="16" t="str">
        <x:v>Low</x:v>
      </x:c>
    </x:row>
    <x:row r="22">
      <x:c r="A22" s="16" t="str">
        <x:v>Hotel Casa Palmela</x:v>
      </x:c>
      <x:c r="B22" s="16" t="str">
        <x:v>Low / quote-dependent</x:v>
      </x:c>
      <x:c r="C22" s="16" t="str">
        <x:v>Marques rental includes kitchen, utilities, tables, chairs, linens, toilet cleaning and event room; Zimbral outside high season includes terrace and table floral centers; preferred-supplier coordination available</x:v>
      </x:c>
      <x:c r="D22" s="16" t="str">
        <x:v>Basic furniture and linens included in Marques; table floral centers included only in the cited Zimbral arrangement; broader flowers are advised/coordinated, not included</x:v>
      </x:c>
      <x:c r="E22" s="16" t="str">
        <x:v>21 rooms and 5 houses, with breakfast depending on booked rate; not included in the event-space fee</x:v>
      </x:c>
      <x:c r="F22" s="16" t="str">
        <x:v>21 rooms plus 5 houses; exact people capacity is quote-dependent</x:v>
      </x:c>
      <x:c r="G22" s="16" t="str">
        <x:v>Not included; Lisbon Airport is approximately 40 minutes away</x:v>
      </x:c>
      <x:c r="H22" s="16" t="str">
        <x:v>EUR 2,250 deductible minimum applies to Zimbral outside high season, but it seats only 72; the 100-person May-September case needs a custom Marques/garden catering quote</x:v>
      </x:c>
      <x:c r="I22" s="16" t="str">
        <x:v>Published room-hire amount includes VAT; catering, lodging, staffing, service charge and gratuity treatment require confirmation</x:v>
      </x:c>
      <x:c r="J22" s="16" t="str">
        <x:v>Possible using hotel dining, wine, wellness and nature activities, all by separate quote</x:v>
      </x:c>
      <x:c r="K22" s="16" t="str">
        <x:v>Available subject to a negotiated sound curfew; no published standard end time</x:v>
      </x:c>
      <x:c r="L22" s="16" t="str">
        <x:v>Must be discussed; fireworks are case-by-case</x:v>
      </x:c>
      <x:c r="M22" s="16" t="str">
        <x:v>Full-hotel exclusivity, catering, most flowers/decor, entertainment, planner, transport, photography, hair/makeup and extra events unless quoted</x:v>
      </x:c>
      <x:c r="N22" s="16" t="str">
        <x:v>Medium</x:v>
      </x:c>
    </x:row>
    <x:row r="23">
      <x:c r="A23" s="16" t="str">
        <x:v>Inn at Fernbrook Farms</x:v>
      </x:c>
      <x:c r="B23" s="16" t="str">
        <x:v>Low / quote-dependent</x:v>
      </x:c>
      <x:c r="C23" s="16" t="str">
        <x:v>Tent/grounds/inn, master suite plus six rooms, itinerary/tent/menu planning and vendor/staff coordination</x:v>
      </x:c>
      <x:c r="D23" s="16" t="str">
        <x:v>Guidance included; exact china/linens/lighting/decor inventory quote-only</x:v>
      </x:c>
      <x:c r="E23" s="16" t="str">
        <x:v>Five-room master suite plus six guest rooms included; bed count not public</x:v>
      </x:c>
      <x:c r="F23" s="16" t="str"/>
      <x:c r="G23" s="16" t="str">
        <x:v>No external shuttle</x:v>
      </x:c>
      <x:c r="H23" s="16" t="str">
        <x:v>No dollar minimum published</x:v>
      </x:c>
      <x:c r="I23" s="16" t="str">
        <x:v>Undefined ++</x:v>
      </x:c>
      <x:c r="J23" s="16" t="str">
        <x:v>Other events possible separately</x:v>
      </x:c>
      <x:c r="K23" s="16" t="str">
        <x:v>Not itemized</x:v>
      </x:c>
      <x:c r="L23" s="16" t="str">
        <x:v>Not public</x:v>
      </x:c>
      <x:c r="M23" s="16" t="str">
        <x:v>Offsite rooms/shuttle, creative vendors and tent/decor upgrades</x:v>
      </x:c>
      <x:c r="N23" s="16" t="str">
        <x:v>High</x:v>
      </x:c>
    </x:row>
    <x:row r="24">
      <x:c r="A24" s="16" t="str">
        <x:v>Lama di Luna Biomasseria</x:v>
      </x:c>
      <x:c r="B24" s="16" t="str">
        <x:v>Low / quote-dependent</x:v>
      </x:c>
      <x:c r="C24" s="16" t="str">
        <x:v>Exclusive lodging, daily breakfast and cleaning, wedding venue fee, restaurant, library, cinema, yoga space, pool and courtyard</x:v>
      </x:c>
      <x:c r="D24" s="16" t="str">
        <x:v>Not included in the published rental benchmark</x:v>
      </x:c>
      <x:c r="E24" s="16" t="str">
        <x:v>12 rooms, approximately 29 guests; remaining guests need nearby lodging</x:v>
      </x:c>
      <x:c r="F24" s="16" t="n">
        <x:v>29</x:v>
      </x:c>
      <x:c r="G24" s="16" t="str">
        <x:v>Not included; Bari Airport approximately 50 minutes away, and offsite guests will require shuttles</x:v>
      </x:c>
      <x:c r="H24" s="16" t="str">
        <x:v>Wedding catering approximately EUR 200 per person; other on-property dinners approximately EUR 50 per person in the cited benchmark</x:v>
      </x:c>
      <x:c r="I24" s="16" t="str">
        <x:v>Published venue rental excludes 10% VAT; catering VAT, staffing, service charge and gratuity are unknown</x:v>
      </x:c>
      <x:c r="J24" s="16" t="str">
        <x:v>Can be arranged through the restaurant at additional cost</x:v>
      </x:c>
      <x:c r="K24" s="16" t="str">
        <x:v>Possible, but no published curfew or sound policy</x:v>
      </x:c>
      <x:c r="L24" s="16" t="str">
        <x:v>Unknown</x:v>
      </x:c>
      <x:c r="M24" s="16" t="str">
        <x:v>Catering, planner, decor/florals, music, transport, offsite rooms, photography, hair/makeup, VAT and unspecified staffing/service charges</x:v>
      </x:c>
      <x:c r="N24" s="16" t="str">
        <x:v>Medium-low</x:v>
      </x:c>
    </x:row>
    <x:row r="25">
      <x:c r="A25" s="16" t="str">
        <x:v>Masseria Le Carrube</x:v>
      </x:c>
      <x:c r="B25" s="16" t="str">
        <x:v>Low / quote-dependent</x:v>
      </x:c>
      <x:c r="C25" s="16" t="str">
        <x:v>Venue/hotel and in-house hospitality; exact wedding scope unpublished</x:v>
      </x:c>
      <x:c r="D25" s="16" t="str">
        <x:v>Quote required</x:v>
      </x:c>
      <x:c r="E25" s="16" t="str">
        <x:v>About 38 onsite, so most guests need nearby hotels</x:v>
      </x:c>
      <x:c r="F25" s="16" t="str">
        <x:v>19 rooms / about 38 beds</x:v>
      </x:c>
      <x:c r="G25" s="16" t="str">
        <x:v>Not included publicly</x:v>
      </x:c>
      <x:c r="H25" s="16" t="str">
        <x:v>In-house catering likely; minimum quote required</x:v>
      </x:c>
      <x:c r="I25" s="16" t="str">
        <x:v>Quote required</x:v>
      </x:c>
      <x:c r="J25" s="16" t="str">
        <x:v>Possible with buyout</x:v>
      </x:c>
      <x:c r="K25" s="16" t="str">
        <x:v>Quote required</x:v>
      </x:c>
      <x:c r="L25" s="16" t="str">
        <x:v>Public events have run DJ/cocktails to about 1am; wedding contract must confirm</x:v>
      </x:c>
      <x:c r="M25" s="16" t="str">
        <x:v>Unpublished</x:v>
      </x:c>
      <x:c r="N25" s="16" t="str">
        <x:v>Low-medium</x:v>
      </x:c>
    </x:row>
    <x:row r="26">
      <x:c r="A26" s="16" t="str">
        <x:v>Millbrook Vineyards &amp; Winery</x:v>
      </x:c>
      <x:c r="B26" s="16" t="str">
        <x:v>Low / quote-dependent</x:v>
      </x:c>
      <x:c r="C26" s="16" t="str">
        <x:v>Site only; beer/wine allowed, no liquor</x:v>
      </x:c>
      <x:c r="D26" s="16" t="str">
        <x:v>Not included</x:v>
      </x:c>
      <x:c r="E26" s="16" t="str">
        <x:v>None</x:v>
      </x:c>
      <x:c r="F26" s="16" t="n">
        <x:v>0</x:v>
      </x:c>
      <x:c r="G26" s="16" t="str">
        <x:v>Not included</x:v>
      </x:c>
      <x:c r="H26" s="16" t="str">
        <x:v>Unknown</x:v>
      </x:c>
      <x:c r="I26" s="16" t="str">
        <x:v>Unknown</x:v>
      </x:c>
      <x:c r="J26" s="16" t="str">
        <x:v>Not bundled</x:v>
      </x:c>
      <x:c r="K26" s="16" t="str">
        <x:v>Unknown</x:v>
      </x:c>
      <x:c r="L26" s="16" t="str">
        <x:v>Unknown</x:v>
      </x:c>
      <x:c r="M26" s="16" t="str">
        <x:v>All food/bar/rentals/decor/planning/lodging/transport/creative vendors</x:v>
      </x:c>
      <x:c r="N26" s="16" t="str">
        <x:v>High</x:v>
      </x:c>
    </x:row>
    <x:row r="27">
      <x:c r="A27" s="16" t="str">
        <x:v>Montfair Resort Farm</x:v>
      </x:c>
      <x:c r="B27" s="16" t="str">
        <x:v>Low / quote-dependent</x:v>
      </x:c>
      <x:c r="C27" s="16" t="str">
        <x:v>Event Lodge/tented deck, ceremony, parking, supervisor, bonfires, 200 chairs/tables and outdoor activities</x:v>
      </x:c>
      <x:c r="D27" s="16" t="str">
        <x:v>BYO decor/linens/tabletop/AV; tables/chairs supplied</x:v>
      </x:c>
      <x:c r="E27" s="16" t="str">
        <x:v>Guesthouse + 9 cottages sleep 35-40, max 54; separate/guest-payable</x:v>
      </x:c>
      <x:c r="F27" s="16" t="n">
        <x:v>54</x:v>
      </x:c>
      <x:c r="G27" s="16" t="str">
        <x:v>Couple shuttle; buses fit</x:v>
      </x:c>
      <x:c r="H27" s="16" t="str">
        <x:v>None; outside caterer/food truck/BYO alcohol</x:v>
      </x:c>
      <x:c r="I27" s="16" t="str">
        <x:v>5.3% rental tax; vendor fees vary; insurance required</x:v>
      </x:c>
      <x:c r="J27" s="16" t="str">
        <x:v>Friday dinner/Sunday brunch allowed</x:v>
      </x:c>
      <x:c r="K27" s="16" t="str">
        <x:v>Quiet hour 11; bonfire/access to midnight</x:v>
      </x:c>
      <x:c r="L27" s="16" t="str">
        <x:v>Quiet 11 p.m.; Lodge locks midnight</x:v>
      </x:c>
      <x:c r="M27" s="16" t="str">
        <x:v>F&amp;B, planner, tabletop/decor/AV, lodging, shuttles and creative vendors</x:v>
      </x:c>
      <x:c r="N27" s="16" t="str">
        <x:v>High</x:v>
      </x:c>
    </x:row>
    <x:row r="28">
      <x:c r="A28" s="16" t="str">
        <x:v>Orchard &amp; Star</x:v>
      </x:c>
      <x:c r="B28" s="16" t="str">
        <x:v>Low / quote-dependent</x:v>
      </x:c>
      <x:c r="C28" s="16" t="str">
        <x:v>Facility, three farmhouse nights, insurance, tables/chairs/place settings, sound and outdoor core; selected tier adds planner</x:v>
      </x:c>
      <x:c r="D28" s="16" t="str">
        <x:v>Core place settings included; personal florals/design extra</x:v>
      </x:c>
      <x:c r="E28" s="16" t="str">
        <x:v>Farmhouse stay included; most guests need hotels</x:v>
      </x:c>
      <x:c r="F28" s="16" t="str">
        <x:v>Farmhouse only; exact current bed count requires quote</x:v>
      </x:c>
      <x:c r="G28" s="16" t="str">
        <x:v>Extra</x:v>
      </x:c>
      <x:c r="H28" s="16" t="str">
        <x:v>External catering/bar; no public minimum in the core price</x:v>
      </x:c>
      <x:c r="I28" s="16" t="str">
        <x:v>Depends on selected caterer/rental vendors</x:v>
      </x:c>
      <x:c r="J28" s="16" t="str">
        <x:v>Structurally possible; food/staffing extra</x:v>
      </x:c>
      <x:c r="K28" s="16" t="str">
        <x:v>Quote required</x:v>
      </x:c>
      <x:c r="L28" s="16" t="str">
        <x:v>Not publicly stated</x:v>
      </x:c>
      <x:c r="M28" s="16" t="str">
        <x:v>Catering/bar, tent/dancefloor, décor, music beyond basic sound, transport, photo/HMU and most guest rooms</x:v>
      </x:c>
      <x:c r="N28" s="16" t="str">
        <x:v>Medium on core; low-medium on total</x:v>
      </x:c>
    </x:row>
    <x:row r="29">
      <x:c r="A29" s="16" t="str">
        <x:v>Perona Farms</x:v>
      </x:c>
      <x:c r="B29" s="16" t="str">
        <x:v>Low / quote-dependent</x:v>
      </x:c>
      <x:c r="C29" s="16" t="str">
        <x:v>Food, premium bar, tables/chairs/linens/tableware, setup/cleanup, planning, dessert/cake generally included</x:v>
      </x:c>
      <x:c r="D29" s="16" t="str">
        <x:v>Florals/custom design extra</x:v>
      </x:c>
      <x:c r="E29" s="16" t="str">
        <x:v>None</x:v>
      </x:c>
      <x:c r="F29" s="16" t="n">
        <x:v>0</x:v>
      </x:c>
      <x:c r="G29" s="16" t="str">
        <x:v>Not included</x:v>
      </x:c>
      <x:c r="H29" s="16" t="str">
        <x:v>Varies</x:v>
      </x:c>
      <x:c r="I29" s="16" t="str">
        <x:v>Reported 23% service + 6.625% tax; confirm gratuity</x:v>
      </x:c>
      <x:c r="J29" s="16" t="str">
        <x:v>Not bundled</x:v>
      </x:c>
      <x:c r="K29" s="16" t="str">
        <x:v>Unknown</x:v>
      </x:c>
      <x:c r="L29" s="16" t="str">
        <x:v>Unknown</x:v>
      </x:c>
      <x:c r="M29" s="16" t="str">
        <x:v>Lodging, transport and creative vendors</x:v>
      </x:c>
      <x:c r="N29" s="16" t="str">
        <x:v>Medium</x:v>
      </x:c>
    </x:row>
    <x:row r="30">
      <x:c r="A30" s="16" t="str">
        <x:v>Quata Tuscany Country House</x:v>
      </x:c>
      <x:c r="B30" s="16" t="str">
        <x:v>Low / quote-dependent</x:v>
      </x:c>
      <x:c r="C30" s="16" t="str">
        <x:v>Civil ceremony spaces, indoor hall, gardens/pool, eight accommodations and partner recommendations; outside caterers allowed</x:v>
      </x:c>
      <x:c r="D30" s="16" t="str">
        <x:v>Professional partner setup available, not included publicly</x:v>
      </x:c>
      <x:c r="E30" s="16" t="str">
        <x:v>Five apartments plus three rooms; room-type maximum occupancies total about 30, so roughly 70 need hotels</x:v>
      </x:c>
      <x:c r="F30" s="16" t="n">
        <x:v>30</x:v>
      </x:c>
      <x:c r="G30" s="16" t="str">
        <x:v>Airport shuttle available for surcharge; wedding guest shuttles not included publicly</x:v>
      </x:c>
      <x:c r="H30" s="16" t="str">
        <x:v>No in-house wedding restaurant and no public F&amp;B minimum; trusted caterer available</x:v>
      </x:c>
      <x:c r="I30" s="16" t="str">
        <x:v>Not disclosed; normal lodging can carry EUR 30 cleaning per accommodation, optional breakfast EUR 10 adult and housekeeping EUR 10/day</x:v>
      </x:c>
      <x:c r="J30" s="16" t="str">
        <x:v>Can arrange previous-night stay and dinner; public pricing absent</x:v>
      </x:c>
      <x:c r="K30" s="16" t="str">
        <x:v>Dance hall available; directory says no reception time restriction, contract confirmation needed</x:v>
      </x:c>
      <x:c r="L30" s="16" t="str">
        <x:v>Directory says no restriction; official contract not public</x:v>
      </x:c>
      <x:c r="M30" s="16" t="str">
        <x:v>Catering/bar, most decor, planning, transport, offsite hotels for about 70, music, photo/HMU, officiant, tax/service</x:v>
      </x:c>
      <x:c r="N30" s="16" t="str">
        <x:v>low</x:v>
      </x:c>
    </x:row>
    <x:row r="31">
      <x:c r="A31" s="16" t="str">
        <x:v>Relais Sant'Agostino</x:v>
      </x:c>
      <x:c r="B31" s="16" t="str">
        <x:v>Low / quote-dependent</x:v>
      </x:c>
      <x:c r="C31" s="16" t="str">
        <x:v>In-house food and beverage; current listing reports cake and open bar included, with customizable Mediterranean menus</x:v>
      </x:c>
      <x:c r="D31" s="16" t="str">
        <x:v>Decoration is listed as an available service but not proven included</x:v>
      </x:c>
      <x:c r="E31" s="16" t="str">
        <x:v>No guest accommodation; bridal suite only</x:v>
      </x:c>
      <x:c r="F31" s="16" t="n">
        <x:v>0</x:v>
      </x:c>
      <x:c r="G31" s="16" t="str">
        <x:v>Venue can propose car hire, but transport is not confirmed as included; Bari Airport is approximately 45-55 minutes away</x:v>
      </x:c>
      <x:c r="H31" s="16" t="str">
        <x:v>No published minimum; in-house catering appears mandatory despite contradictory venue-only wording in the listing</x:v>
      </x:c>
      <x:c r="I31" s="16" t="str">
        <x:v>VAT, service charge, staffing and gratuity are not disclosed</x:v>
      </x:c>
      <x:c r="J31" s="16" t="str">
        <x:v>Not bundled; would need separate bookings and hotels</x:v>
      </x:c>
      <x:c r="K31" s="16" t="str">
        <x:v>Current listing reports no celebration time restriction; obtain contractual confirmation</x:v>
      </x:c>
      <x:c r="L31" s="16" t="str">
        <x:v>No restriction reported by the current listing, but not confirmed in an official contract</x:v>
      </x:c>
      <x:c r="M31" s="16" t="str">
        <x:v>Guest lodging, weekend events, shuttles, confirmed decor, photography and hair/makeup; music and other listed services may be add-ons</x:v>
      </x:c>
      <x:c r="N31" s="16" t="str">
        <x:v>Low</x:v>
      </x:c>
    </x:row>
    <x:row r="32">
      <x:c r="A32" s="16" t="str">
        <x:v>Tenuta Capotenda</x:v>
      </x:c>
      <x:c r="B32" s="16" t="str">
        <x:v>Low / quote-dependent</x:v>
      </x:c>
      <x:c r="C32" s="16" t="str">
        <x:v>No source-backed wedding inclusions available</x:v>
      </x:c>
      <x:c r="D32" s="16" t="str">
        <x:v>Unknown</x:v>
      </x:c>
      <x:c r="E32" s="16" t="str">
        <x:v>No verified guest accommodation</x:v>
      </x:c>
      <x:c r="F32" s="16" t="str"/>
      <x:c r="G32" s="16" t="str">
        <x:v>Unknown; approximately one hour from Bari Airport by road</x:v>
      </x:c>
      <x:c r="H32" s="16" t="str">
        <x:v>Unknown</x:v>
      </x:c>
      <x:c r="I32" s="16" t="str">
        <x:v>Unknown</x:v>
      </x:c>
      <x:c r="J32" s="16" t="str">
        <x:v>Unknown</x:v>
      </x:c>
      <x:c r="K32" s="16" t="str">
        <x:v>Unknown</x:v>
      </x:c>
      <x:c r="L32" s="16" t="str">
        <x:v>Unknown</x:v>
      </x:c>
      <x:c r="M32" s="16" t="str">
        <x:v>Cannot be determined without a current written proposal</x:v>
      </x:c>
      <x:c r="N32" s="16" t="str">
        <x:v>Very low</x:v>
      </x:c>
    </x:row>
    <x:row r="33">
      <x:c r="A33" s="16" t="str">
        <x:v>Tenuta di Rota</x:v>
      </x:c>
      <x:c r="B33" s="16" t="str">
        <x:v>Low / quote-dependent</x:v>
      </x:c>
      <x:c r="C33" s="16" t="str">
        <x:v>Palagio lodging for 16, breakfast, daily cleaning, wedding-day shuttle and planner at the published anchor</x:v>
      </x:c>
      <x:c r="D33" s="16" t="str">
        <x:v>Not included; lighting/preferred suppliers extra</x:v>
      </x:c>
      <x:c r="E33" s="16" t="str">
        <x:v>About 70 in core estate inventory; up to roughly 100 only with separately priced villas</x:v>
      </x:c>
      <x:c r="F33" s="16" t="str">
        <x:v>About 70 across Palagio and 12 estate apartments; additional villas may bring the campus near 100 at extra cost</x:v>
      </x:c>
      <x:c r="G33" s="16" t="str">
        <x:v>Wedding-day shuttle included at the Palagio anchor; airport/overflow lodging transfers extra</x:v>
      </x:c>
      <x:c r="H33" s="16" t="str">
        <x:v>External/preferred catering quote required</x:v>
      </x:c>
      <x:c r="I33" s="16" t="str">
        <x:v>Quote required</x:v>
      </x:c>
      <x:c r="J33" s="16" t="str">
        <x:v>Possible across the estate; catering extra</x:v>
      </x:c>
      <x:c r="K33" s="16" t="str">
        <x:v>Quote required</x:v>
      </x:c>
      <x:c r="L33" s="16" t="str">
        <x:v>Quote required</x:v>
      </x:c>
      <x:c r="M33" s="16" t="str">
        <x:v>Marquee for more than 50, most lodging beyond Palagio, catering/bar, decor/lighting, entertainment, airport transport and photo/HMU</x:v>
      </x:c>
      <x:c r="N33" s="16" t="str">
        <x:v>Medium; capacity and stay-length conflicts</x:v>
      </x:c>
    </x:row>
    <x:row r="34">
      <x:c r="A34" s="16" t="str">
        <x:v>Tenute Maci</x:v>
      </x:c>
      <x:c r="B34" s="16" t="str">
        <x:v>Low / quote-dependent</x:v>
      </x:c>
      <x:c r="C34" s="16" t="str">
        <x:v>Current listing reports in-house catering, cake and an open bar limited by fixed quantity or time; gardens, chapel, pool and civil-ceremony capability</x:v>
      </x:c>
      <x:c r="D34" s="16" t="str">
        <x:v>Planner, florals and setup are listed as available services, but are not confirmed as included in the menu price</x:v>
      </x:c>
      <x:c r="E34" s="16" t="str">
        <x:v>None on property; the core model treats offsite guestrooms as guest-paid</x:v>
      </x:c>
      <x:c r="F34" s="16" t="n">
        <x:v>0</x:v>
      </x:c>
      <x:c r="G34" s="16" t="str">
        <x:v>Not published as included; Brindisi Airport is approximately 25-30 minutes by road</x:v>
      </x:c>
      <x:c r="H34" s="16" t="str">
        <x:v>No amount published beyond menus from EUR 80-EUR 100 per person; in-house catering is reportedly mandatory</x:v>
      </x:c>
      <x:c r="I34" s="16" t="str">
        <x:v>VAT, staffing, service charge and gratuity treatment are not disclosed</x:v>
      </x:c>
      <x:c r="J34" s="16" t="str">
        <x:v>Not included; would require separate venue bookings or offsite events</x:v>
      </x:c>
      <x:c r="K34" s="16" t="str">
        <x:v>Possible only within venue operating terms; entertainment is likely an add-on</x:v>
      </x:c>
      <x:c r="L34" s="16" t="str">
        <x:v>Normal curfew reported as 12:30 a.m., negotiable</x:v>
      </x:c>
      <x:c r="M34" s="16" t="str">
        <x:v>Guest lodging, shuttles, welcome/farewell events, confirmed florals/decor, photography, hair/makeup and likely entertainment</x:v>
      </x:c>
      <x:c r="N34" s="16" t="str">
        <x:v>Low-medium</x:v>
      </x:c>
    </x:row>
    <x:row r="35">
      <x:c r="A35" s="16" t="str">
        <x:v>The Arnold House</x:v>
      </x:c>
      <x:c r="B35" s="16" t="str">
        <x:v>Low / quote-dependent</x:v>
      </x:c>
      <x:c r="C35" s="16" t="str">
        <x:v>Barn/Greenhouse/tent, in-house seasonal F&amp;B, staff and weekend planning; rentals/decor/service detail not public</x:v>
      </x:c>
      <x:c r="D35" s="16" t="str">
        <x:v>Not itemized</x:v>
      </x:c>
      <x:c r="E35" s="16" t="str">
        <x:v>Official pages conflict 16 vs 21 rooms; separately booked/bought out</x:v>
      </x:c>
      <x:c r="F35" s="16" t="str"/>
      <x:c r="G35" s="16" t="str">
        <x:v>Activities arranged; shuttles not stated</x:v>
      </x:c>
      <x:c r="H35" s="16" t="str">
        <x:v>USD 40,000+</x:v>
      </x:c>
      <x:c r="I35" s="16" t="str">
        <x:v>Unknown</x:v>
      </x:c>
      <x:c r="J35" s="16" t="str">
        <x:v>Fri welcome/Sat wedding/Sun brunch; mobile pizza/rehearsal available</x:v>
      </x:c>
      <x:c r="K35" s="16" t="str">
        <x:v>Unknown</x:v>
      </x:c>
      <x:c r="L35" s="16" t="str">
        <x:v>Unknown</x:v>
      </x:c>
      <x:c r="M35" s="16" t="str">
        <x:v>Rooms, transport, unconfirmed rentals/decor and creative vendors</x:v>
      </x:c>
      <x:c r="N35" s="16" t="str">
        <x:v>High base; medium total</x:v>
      </x:c>
    </x:row>
    <x:row r="36">
      <x:c r="A36" s="16" t="str">
        <x:v>The Mansion at Oyster Bay</x:v>
      </x:c>
      <x:c r="B36" s="16" t="str">
        <x:v>Low / quote-dependent</x:v>
      </x:c>
      <x:c r="C36" s="16" t="str">
        <x:v>In-house F&amp;B, four-tier cake, desserts/coffee, maitre d'/captains/attendant, suite, linens/candles/place cards/coordinator</x:v>
      </x:c>
      <x:c r="D36" s="16" t="str">
        <x:v>Linens/candles included; florals/design extra</x:v>
      </x:c>
      <x:c r="E36" s="16" t="str">
        <x:v>None</x:v>
      </x:c>
      <x:c r="F36" s="16" t="n">
        <x:v>0</x:v>
      </x:c>
      <x:c r="G36" s="16" t="str">
        <x:v>Not included</x:v>
      </x:c>
      <x:c r="H36" s="16" t="str">
        <x:v>Unknown</x:v>
      </x:c>
      <x:c r="I36" s="16" t="str">
        <x:v>22% admin + NY tax; admin not gratuity and tips separate</x:v>
      </x:c>
      <x:c r="J36" s="16" t="str">
        <x:v>Separate</x:v>
      </x:c>
      <x:c r="K36" s="16" t="str">
        <x:v>Likely separate/offsite</x:v>
      </x:c>
      <x:c r="L36" s="16" t="str">
        <x:v>Unknown</x:v>
      </x:c>
      <x:c r="M36" s="16" t="str">
        <x:v>Lodging, transport, gratuity and creative vendors</x:v>
      </x:c>
      <x:c r="N36" s="16" t="str">
        <x:v>Medium</x:v>
      </x:c>
    </x:row>
    <x:row r="37">
      <x:c r="A37" s="16" t="str">
        <x:v>Unionville Vineyards</x:v>
      </x:c>
      <x:c r="B37" s="16" t="str">
        <x:v>Low / quote-dependent</x:v>
      </x:c>
      <x:c r="C37" s="16" t="str">
        <x:v>Prep farmhouse, ceremony, Cave Room, winery floor, seasonal tented patio and firepit; catering/rentals quote-only</x:v>
      </x:c>
      <x:c r="D37" s="16" t="str">
        <x:v>Not published</x:v>
      </x:c>
      <x:c r="E37" s="16" t="str">
        <x:v>Prep farmhouse only; no guest rooms</x:v>
      </x:c>
      <x:c r="F37" s="16" t="n">
        <x:v>0</x:v>
      </x:c>
      <x:c r="G37" s="16" t="str">
        <x:v>Not included</x:v>
      </x:c>
      <x:c r="H37" s="16" t="str">
        <x:v>One case wine per 30 adults</x:v>
      </x:c>
      <x:c r="I37" s="16" t="str">
        <x:v>Unknown</x:v>
      </x:c>
      <x:c r="J37" s="16" t="str">
        <x:v>Rehearsal often possible; meals separate</x:v>
      </x:c>
      <x:c r="K37" s="16" t="str">
        <x:v>Outdoor music moves inside after 8 p.m.</x:v>
      </x:c>
      <x:c r="L37" s="16" t="str">
        <x:v>Outdoor live music ends 8 p.m.; indoor end unknown</x:v>
      </x:c>
      <x:c r="M37" s="16" t="str">
        <x:v>Lodging, transport, unconfirmed catering/rentals and creative vendors</x:v>
      </x:c>
      <x:c r="N37" s="16" t="str">
        <x:v>Low</x:v>
      </x:c>
    </x:row>
    <x:row r="38">
      <x:c r="A38" s="16" t="str">
        <x:v>Valenzano Winery / Vineyard Estates</x:v>
      </x:c>
      <x:c r="B38" s="16" t="str">
        <x:v>Low / quote-dependent</x:v>
      </x:c>
      <x:c r="C38" s="16" t="str">
        <x:v>Pavilion Wine House/bar/restrooms, firepits/lights, ceremony, dance floor, stage/gazebo; Summit Catering/event team</x:v>
      </x:c>
      <x:c r="D38" s="16" t="str">
        <x:v>Not itemized</x:v>
      </x:c>
      <x:c r="E38" s="16" t="str">
        <x:v>None</x:v>
      </x:c>
      <x:c r="F38" s="16" t="n">
        <x:v>0</x:v>
      </x:c>
      <x:c r="G38" s="16" t="str">
        <x:v>Not included</x:v>
      </x:c>
      <x:c r="H38" s="16" t="str">
        <x:v>Unknown</x:v>
      </x:c>
      <x:c r="I38" s="16" t="str">
        <x:v>Unknown</x:v>
      </x:c>
      <x:c r="J38" s="16" t="str">
        <x:v>Not bundled</x:v>
      </x:c>
      <x:c r="K38" s="16" t="str">
        <x:v>Unknown</x:v>
      </x:c>
      <x:c r="L38" s="16" t="str">
        <x:v>Unknown</x:v>
      </x:c>
      <x:c r="M38" s="16" t="str">
        <x:v>Lodging, transport and all unconfirmed vendor/decor items</x:v>
      </x:c>
      <x:c r="N38" s="16" t="str">
        <x:v>Low</x:v>
      </x:c>
    </x:row>
    <x:row r="39">
      <x:c r="A39" s="16" t="str">
        <x:v>Villa Barone Hilltop Manor</x:v>
      </x:c>
      <x:c r="B39" s="16" t="str">
        <x:v>Low / quote-dependent</x:v>
      </x:c>
      <x:c r="C39" s="16" t="str">
        <x:v>In-house banquet services; details quote-only</x:v>
      </x:c>
      <x:c r="D39" s="16" t="str">
        <x:v>Unknown</x:v>
      </x:c>
      <x:c r="E39" s="16" t="str">
        <x:v>None</x:v>
      </x:c>
      <x:c r="F39" s="16" t="n">
        <x:v>0</x:v>
      </x:c>
      <x:c r="G39" s="16" t="str">
        <x:v>Not included</x:v>
      </x:c>
      <x:c r="H39" s="16" t="str">
        <x:v>Unknown</x:v>
      </x:c>
      <x:c r="I39" s="16" t="str">
        <x:v>Unknown</x:v>
      </x:c>
      <x:c r="J39" s="16" t="str">
        <x:v>Not bundled</x:v>
      </x:c>
      <x:c r="K39" s="16" t="str">
        <x:v>Unknown</x:v>
      </x:c>
      <x:c r="L39" s="16" t="str">
        <x:v>Unknown</x:v>
      </x:c>
      <x:c r="M39" s="16" t="str">
        <x:v>Photography/video, entertainment, florals/decor, beauty and other items not confirmed in a written proposal</x:v>
      </x:c>
      <x:c r="N39" s="16" t="str">
        <x:v>Low</x:v>
      </x:c>
    </x:row>
    <x:row r="40">
      <x:c r="A40" s="16" t="str">
        <x:v>Villa LeMura</x:v>
      </x:c>
      <x:c r="B40" s="16" t="str">
        <x:v>Low / quote-dependent</x:v>
      </x:c>
      <x:c r="C40" s="16" t="str">
        <x:v>Villa, gardens, chapel, cantina/ballroom, pool and commercial kitchens; owner can recommend planner/vendors and assist with information/paperwork</x:v>
      </x:c>
      <x:c r="D40" s="16" t="str">
        <x:v>Flowers, music, catering and fireworks are customizable, not stated included</x:v>
      </x:c>
      <x:c r="E40" s="16" t="str">
        <x:v>Only 16-20 in 8-10 rooms/suites; about 80 need hotels</x:v>
      </x:c>
      <x:c r="F40" s="16" t="n">
        <x:v>20</x:v>
      </x:c>
      <x:c r="G40" s="16" t="str">
        <x:v>Concierge/shuttles/transfers can be arranged, quote-only</x:v>
      </x:c>
      <x:c r="H40" s="16" t="str">
        <x:v>No public catering price or minimum</x:v>
      </x:c>
      <x:c r="I40" s="16" t="str">
        <x:v>Not disclosed</x:v>
      </x:c>
      <x:c r="J40" s="16" t="str">
        <x:v>Possible within four-day exclusive hire, but all catering/production quote-only</x:v>
      </x:c>
      <x:c r="K40" s="16" t="str">
        <x:v>Cantina available on request; terms and sound limit not public</x:v>
      </x:c>
      <x:c r="L40" s="16" t="str">
        <x:v>Not public</x:v>
      </x:c>
      <x:c r="M40" s="16" t="str">
        <x:v>Nearly all wedding production and catering, 80 offsite beds, transport, planning, photo/HMU, officiant, tax/service</x:v>
      </x:c>
      <x:c r="N40" s="16" t="str">
        <x:v>low</x:v>
      </x:c>
    </x:row>
    <x:row r="41">
      <x:c r="A41" s="16" t="str">
        <x:v>Villa Lena Puglia</x:v>
      </x:c>
      <x:c r="B41" s="16" t="str">
        <x:v>Low / quote-dependent</x:v>
      </x:c>
      <x:c r="C41" s="16" t="str">
        <x:v>Exclusive villa and in-house wedding planner; external suppliers/catering</x:v>
      </x:c>
      <x:c r="D41" s="16" t="str">
        <x:v>Not bundled beyond venue inventory</x:v>
      </x:c>
      <x:c r="E41" s="16" t="str">
        <x:v>Only about 14-20 onsite; Oria lodging about 2km away</x:v>
      </x:c>
      <x:c r="F41" s="16" t="str">
        <x:v>7 suites / official 14-18, with some listings stating 20</x:v>
      </x:c>
      <x:c r="G41" s="16" t="str">
        <x:v>Not publicly included</x:v>
      </x:c>
      <x:c r="H41" s="16" t="str">
        <x:v>Quote required</x:v>
      </x:c>
      <x:c r="I41" s="16" t="str">
        <x:v>Quote required</x:v>
      </x:c>
      <x:c r="J41" s="16" t="str">
        <x:v>Possible during buyout</x:v>
      </x:c>
      <x:c r="K41" s="16" t="str">
        <x:v>Quote required</x:v>
      </x:c>
      <x:c r="L41" s="16" t="str">
        <x:v>Quote required; wet-weather plan was not yet established publicly</x:v>
      </x:c>
      <x:c r="M41" s="16" t="str">
        <x:v>Most guest lodging and all unconfirmed vendors</x:v>
      </x:c>
      <x:c r="N41" s="16" t="str">
        <x:v>Medium on capacity/beds; low on price</x:v>
      </x:c>
    </x:row>
    <x:row r="42">
      <x:c r="A42" s="16" t="str">
        <x:v>Villa Mocale</x:v>
      </x:c>
      <x:c r="B42" s="16" t="str">
        <x:v>Low / quote-dependent</x:v>
      </x:c>
      <x:c r="C42" s="16" t="str">
        <x:v>Venue/event spaces, symbolic ceremony option and exclusive in-house catering relationship; cake and fixed-quantity open bar available</x:v>
      </x:c>
      <x:c r="D42" s="16" t="str">
        <x:v>Custom setup available but not stated included</x:v>
      </x:c>
      <x:c r="E42" s="16" t="str">
        <x:v>None onsite; hotels and shuttles required for all 100</x:v>
      </x:c>
      <x:c r="F42" s="16" t="n">
        <x:v>0</x:v>
      </x:c>
      <x:c r="G42" s="16" t="str">
        <x:v>Listed as an available service, not confirmed included</x:v>
      </x:c>
      <x:c r="H42" s="16" t="str">
        <x:v>Exclusive in-house catering; public price/minimum not disclosed</x:v>
      </x:c>
      <x:c r="I42" s="16" t="str">
        <x:v>Not disclosed</x:v>
      </x:c>
      <x:c r="J42" s="16" t="str">
        <x:v>No residential weekend package; separate dates/venues or caterer arrangements required</x:v>
      </x:c>
      <x:c r="K42" s="16" t="str">
        <x:v>Cellar/party spaces exist; directory says no time restriction, but contract confirmation is essential</x:v>
      </x:c>
      <x:c r="L42" s="16" t="str">
        <x:v>Directory says no restriction; official contract not public</x:v>
      </x:c>
      <x:c r="M42" s="16" t="str">
        <x:v>Guest lodging, multi-day buyout, offsite shuttles, published F&amp;B price, florals/decor, music, photo/HMU, planning scope and tax/service detail</x:v>
      </x:c>
      <x:c r="N42" s="16" t="str">
        <x:v>low</x:v>
      </x:c>
    </x:row>
    <x:row r="43">
      <x:c r="A43" s="16" t="str">
        <x:v>Villa Sermolli</x:v>
      </x:c>
      <x:c r="B43" s="16" t="str">
        <x:v>Low / quote-dependent</x:v>
      </x:c>
      <x:c r="C43" s="16" t="str">
        <x:v>Buyout lodging/breakfast/room service for 80; dedicated event manager; wedding menus from EUR 100 pp and drinks from EUR 70 pp from 17:00-01:00</x:v>
      </x:c>
      <x:c r="D43" s="16" t="str">
        <x:v>Not included publicly</x:v>
      </x:c>
      <x:c r="E43" s="16" t="str">
        <x:v>Included for 80; partner hotels needed for 20</x:v>
      </x:c>
      <x:c r="F43" s="16" t="n">
        <x:v>80</x:v>
      </x:c>
      <x:c r="G43" s="16" t="str">
        <x:v>Not included; shuttles needed for 20 offsite guests</x:v>
      </x:c>
      <x:c r="H43" s="16" t="str">
        <x:v>Wedding menu from EUR 100 pp, minimum 50; beverage package from EUR 70 pp</x:v>
      </x:c>
      <x:c r="I43" s="16" t="str">
        <x:v>VAT/service/gratuity not stated on public page</x:v>
      </x:c>
      <x:c r="J43" s="16" t="str">
        <x:v>Onsite restaurant/pizza night makes extra events practical, but prices are not included in anchor</x:v>
      </x:c>
      <x:c r="K43" s="16" t="str">
        <x:v>Official page advertises afterparty until 2:00am</x:v>
      </x:c>
      <x:c r="L43" s="16" t="str">
        <x:v>Afterparty to 2:00am; beverage package quoted to 1:00am</x:v>
      </x:c>
      <x:c r="M43" s="16" t="str">
        <x:v>20 offsite beds/shuttles, welcome/recovery meals, flowers/decor, music/AV, officiant, photo/HMU, taxes/service and likely tent for a weather-safe 100-person plan</x:v>
      </x:c>
      <x:c r="N43" s="16" t="str">
        <x:v>medium</x:v>
      </x:c>
    </x:row>
    <x:row r="44">
      <x:c r="A44" s="16" t="str">
        <x:v>Castello di Ristonchi</x:v>
      </x:c>
      <x:c r="B44" s="16" t="str">
        <x:v>High</x:v>
      </x:c>
      <x:c r="C44" s="16" t="str">
        <x:v>Exclusive use; lodging for 100; Florence round-trip group transportation; breakfasts; welcome pizza/wine/tiramisu; wedding-day lunch; ceremony AV; basic florals; full-bar aperitivo; live music; five-course dinner; unlimited wine/cocktail bar; cake; table decor and bistro lights; Rave Cave DJ/open bar; pasta class and meal; BBQ; gelato; yoga; content creator; planning portal and support; VAT/taxes/fees</x:v>
      </x:c>
      <x:c r="D44" s="16" t="str">
        <x:v>Basic olive/candle table decor, 15 roses with olive branches, arch florals and outdoor bistro lights included; upgrades extra</x:v>
      </x:c>
      <x:c r="E44" s="16" t="str">
        <x:v>Included for up to 100 across castle apartments, villa and glamping cabins</x:v>
      </x:c>
      <x:c r="F44" s="16" t="n">
        <x:v>100</x:v>
      </x:c>
      <x:c r="G44" s="16" t="str">
        <x:v>Round-trip group transport from Florence Airport included only in Premium; fixed shuttle windows</x:v>
      </x:c>
      <x:c r="H44" s="16" t="str">
        <x:v>No separate minimum; in-house food/bar package is bundled; outside catering and outside alcohol not allowed</x:v>
      </x:c>
      <x:c r="I44" s="16" t="str">
        <x:v>10% VAT plus local, tourist and music taxes/fees stated included; FAQ says no hidden service fees except selected add-ons; gratuity treatment should still be confirmed in contract</x:v>
      </x:c>
      <x:c r="J44" s="16" t="str">
        <x:v>Welcome pizza/wine/tiramisu, breakfasts, pasta meal, BBQ and gelato included</x:v>
      </x:c>
      <x:c r="K44" s="16" t="str">
        <x:v>Rave Cave, DJ and four-hour open bar to about 2:00-2:30am included</x:v>
      </x:c>
      <x:c r="L44" s="16" t="str">
        <x:v>Package describes bar to about 2:00am and DJ to about 2:30am</x:v>
      </x:c>
      <x:c r="M44" s="16" t="str">
        <x:v>Photographer, officiant, hair/makeup, optional day-of coordinator, upgraded florals/decor/alcohol and other add-ons</x:v>
      </x:c>
      <x:c r="N44" s="16" t="str">
        <x:v>high</x:v>
      </x:c>
    </x:row>
    <x:row r="45">
      <x:c r="A45" s="16" t="str">
        <x:v>Blenheim Hill Farm</x:v>
      </x:c>
      <x:c r="B45" s="16" t="str">
        <x:v>Medium-high</x:v>
      </x:c>
      <x:c r="C45" s="16" t="str">
        <x:v>Ceremony sites, historic barn, cocktail/rehearsal spaces, rain tent, prep rooms, 20+ staff, coordination/planning, furniture/tabletop/linens, setup/cleanup, insurance, restrooms, lighting, climate, parking and cart</x:v>
      </x:c>
      <x:c r="D45" s="16" t="str">
        <x:v>Furniture, lighting, linens/base tabletop included; personal flowers/design extra</x:v>
      </x:c>
      <x:c r="E45" s="16" t="str">
        <x:v>Blenheim Inn 20 + nearby Virginia Queen 20; reserved but separately priced</x:v>
      </x:c>
      <x:c r="F45" s="16" t="n">
        <x:v>40</x:v>
      </x:c>
      <x:c r="G45" s="16" t="str">
        <x:v>One property cart/driver and parking; offsite shuttles extra</x:v>
      </x:c>
      <x:c r="H45" s="16" t="str">
        <x:v>Food 96/125/149/178; bar 48/69/78/89; rehearsal dinner 59 or 79 pp</x:v>
      </x:c>
      <x:c r="I45" s="16" t="str">
        <x:v>~8% NY tax; no separate staffing/service fee shown</x:v>
      </x:c>
      <x:c r="J45" s="16" t="str">
        <x:v>Rehearsal space included; food extra</x:v>
      </x:c>
      <x:c r="K45" s="16" t="str">
        <x:v>Add-on packages</x:v>
      </x:c>
      <x:c r="L45" s="16" t="str">
        <x:v>No curfew or noise restriction</x:v>
      </x:c>
      <x:c r="M45" s="16" t="str">
        <x:v>Lodging cost, shuttles, creative vendors and upgrades</x:v>
      </x:c>
      <x:c r="N45" s="16" t="str">
        <x:v>High</x:v>
      </x:c>
    </x:row>
    <x:row r="46">
      <x:c r="A46" s="16" t="str">
        <x:v>Borgo di Pietrafitta</x:v>
      </x:c>
      <x:c r="B46" s="16" t="str">
        <x:v>Low / quote-dependent</x:v>
      </x:c>
      <x:c r="C46" s="16" t="str">
        <x:v>Accommodation for up to 65, buffet breakfast, daily housekeeping, common areas, reception 08:00-21:00 and room welcome wine</x:v>
      </x:c>
      <x:c r="D46" s="16" t="str">
        <x:v>External</x:v>
      </x:c>
      <x:c r="E46" s="16" t="str">
        <x:v>65 onsite; additional beds possible; other lodging within about 10 minutes</x:v>
      </x:c>
      <x:c r="F46" s="16" t="n">
        <x:v>65</x:v>
      </x:c>
      <x:c r="G46" s="16" t="str">
        <x:v>Not included; shuttles needed for about 35</x:v>
      </x:c>
      <x:c r="H46" s="16" t="str">
        <x:v>Self-catering/external catering except breakfast</x:v>
      </x:c>
      <x:c r="I46" s="16" t="str">
        <x:v>VAT included in rental; external vendor taxes/service extra</x:v>
      </x:c>
      <x:c r="J46" s="16" t="str">
        <x:v>Possible in barbecue/pool/common areas; all catering and production external</x:v>
      </x:c>
      <x:c r="K46" s="16" t="str">
        <x:v>No public terms</x:v>
      </x:c>
      <x:c r="L46" s="16" t="str">
        <x:v>Not public</x:v>
      </x:c>
      <x:c r="M46" s="16" t="str">
        <x:v>35 beds/shuttles, all event F&amp;B/bar, planner, flowers/decor/rentals, music/AV, tent/rain plan, officiant and photo/HMU</x:v>
      </x:c>
      <x:c r="N46" s="16" t="str">
        <x:v>medium on rental; low on total</x:v>
      </x:c>
    </x:row>
    <x:row r="47">
      <x:c r="A47" s="16" t="str">
        <x:v>Candlelight Farms Inn</x:v>
      </x:c>
      <x:c r="B47" s="16" t="str">
        <x:v>Low / quote-dependent</x:v>
      </x:c>
      <x:c r="C47" s="16" t="str">
        <x:v>Weekend tier includes five rooms for two nights with breakfasts, Clubhouse, Lower Barn and decor/Pinterest inventory; outside caterer/bar/rentals and planner required</x:v>
      </x:c>
      <x:c r="D47" s="16" t="str">
        <x:v>Not included</x:v>
      </x:c>
      <x:c r="E47" s="16" t="str">
        <x:v>Rooms priced separately</x:v>
      </x:c>
      <x:c r="F47" s="16" t="str">
        <x:v>Five inn rooms; exact occupancy needs a rooming list</x:v>
      </x:c>
      <x:c r="G47" s="16" t="str">
        <x:v>Not included</x:v>
      </x:c>
      <x:c r="H47" s="16" t="str">
        <x:v>Outside catering/bar; vendor approval required</x:v>
      </x:c>
      <x:c r="I47" s="16" t="str">
        <x:v>15% venue service fee, $100 dumpster, possible $350 septic fee, toilet trailer required above 100, plus insurance and vendor charges</x:v>
      </x:c>
      <x:c r="J47" s="16" t="str">
        <x:v>Potentially possible only by separate agreement and fee</x:v>
      </x:c>
      <x:c r="K47" s="16" t="str">
        <x:v>No viable onsite afterparty under published departure rules</x:v>
      </x:c>
      <x:c r="L47" s="16" t="str">
        <x:v>Alcohol and music end 10:30pm; guests depart by 11pm; property dark 11:30pm</x:v>
      </x:c>
      <x:c r="M47" s="16" t="str">
        <x:v>All vendors, rooms, restroom trailer for large events, coordination, tent/rentals, transport, decor, music, photo/HMU</x:v>
      </x:c>
      <x:c r="N47" s="16" t="str">
        <x:v>Medium-high on rules; medium on total</x:v>
      </x:c>
    </x:row>
    <x:row r="48">
      <x:c r="A48" s="16" t="str">
        <x:v>Casa Cornacchi</x:v>
      </x:c>
      <x:c r="B48" s="16" t="str">
        <x:v>Low / quote-dependent</x:v>
      </x:c>
      <x:c r="C48" s="16" t="str">
        <x:v>Accommodation listed as 25 rooms/60 beds and venue use; in-house restaurant/catering and supplier coordination available</x:v>
      </x:c>
      <x:c r="D48" s="16" t="str">
        <x:v>Venue can coordinate suppliers; not included publicly</x:v>
      </x:c>
      <x:c r="E48" s="16" t="str">
        <x:v>Public page narrative says 54 over two villas 15 minutes apart while rate table says 60; confirm contracted count. About 40-46 need more lodging</x:v>
      </x:c>
      <x:c r="F48" s="16" t="n">
        <x:v>60</x:v>
      </x:c>
      <x:c r="G48" s="16" t="str">
        <x:v>Not included; internal and offsite shuttles needed</x:v>
      </x:c>
      <x:c r="H48" s="16" t="str">
        <x:v>In-house catering; public wedding menu/minimum not disclosed</x:v>
      </x:c>
      <x:c r="I48" s="16" t="str">
        <x:v>Not disclosed</x:v>
      </x:c>
      <x:c r="J48" s="16" t="str">
        <x:v>Onsite restaurant makes extra events feasible; prices quote-only</x:v>
      </x:c>
      <x:c r="K48" s="16" t="str">
        <x:v>No public terms</x:v>
      </x:c>
      <x:c r="L48" s="16" t="str">
        <x:v>Not public</x:v>
      </x:c>
      <x:c r="M48" s="16" t="str">
        <x:v>40-46 beds/shuttles, event F&amp;B/bar, flowers/decor, music/AV, planning scope, officiant and photo/HMU</x:v>
      </x:c>
      <x:c r="N48" s="16" t="str">
        <x:v>medium-low</x:v>
      </x:c>
    </x:row>
    <x:row r="49">
      <x:c r="A49" s="16" t="str">
        <x:v>Casa Monte Cristo Collection</x:v>
      </x:c>
      <x:c r="B49" s="16" t="str">
        <x:v>High</x:v>
      </x:c>
      <x:c r="C49" s="16" t="str">
        <x:v>Ceremony chairs, table and PA; reception setup, stretch marquee, festoon lighting, private toilets, dancefloor, Chiavari chairs, tables, linens and tableware; one-hour cocktail drinks; full BBQ meal and table drinks; DJ; unlimited wine, beer, spirits and mixers through 11:00 p.m.</x:v>
      </x:c>
      <x:c r="D49" s="16" t="str">
        <x:v>Core setup, furniture, linen and festoon lighting included; bespoke flowers and expanded styling are extra</x:v>
      </x:c>
      <x:c r="E49" s="16" t="str">
        <x:v>Four-night villas for 78 total EUR 32,020 in May, June or September 2027, IVA included; 22 guests need offsite rooms</x:v>
      </x:c>
      <x:c r="F49" s="16" t="n">
        <x:v>78</x:v>
      </x:c>
      <x:c r="G49" s="16" t="str">
        <x:v>Not included; Faro Airport is approximately 60-75 minutes away</x:v>
      </x:c>
      <x:c r="H49" s="16" t="str">
        <x:v>No separate wedding-day minimum because food and beverage are bundled; welcome party and brunch are optional extras</x:v>
      </x:c>
      <x:c r="I49" s="16" t="str">
        <x:v>Wedding package and lodging state IVA included; refundable villa deposits and optional pool heating are additional; gratuity not addressed</x:v>
      </x:c>
      <x:c r="J49" s="16" t="str">
        <x:v>Optional welcome party and brunch available at additional cost</x:v>
      </x:c>
      <x:c r="K49" s="16" t="str">
        <x:v>DJ and open bar included, but all music and events finish at 11:00 p.m.; silent-disco requirements may apply</x:v>
      </x:c>
      <x:c r="L49" s="16" t="str">
        <x:v>Music winds down at 10:45 p.m. and ends at 11:00 p.m.; all events conclude by 11:00 p.m.</x:v>
      </x:c>
      <x:c r="M49" s="16" t="str">
        <x:v>Welcome/farewell upgrades, bespoke florals, officiant, transport, offsite beds for 22, photography, hair/makeup and optional pool heating</x:v>
      </x:c>
      <x:c r="N49" s="16" t="str">
        <x:v>High</x:v>
      </x:c>
    </x:row>
    <x:row r="50">
      <x:c r="A50" s="16" t="str">
        <x:v>Chateau de la Couronne</x:v>
      </x:c>
      <x:c r="B50" s="16" t="str">
        <x:v>Low / quote-dependent</x:v>
      </x:c>
      <x:c r="C50" s="16" t="str">
        <x:v>Estate, 56 beds, breakfasts, pantry, daily housekeeping, concierge, staffing, wet-weather option, furniture, props, tableware and linens for 100; cited catering bundle covers welcome meal, wedding cocktail/dinner/table wine/late snacks, pool BBQ and light bites</x:v>
      </x:c>
      <x:c r="D50" s="16" t="str">
        <x:v>Furniture, props, tableware and linens included; external supplier allowance includes florist/styling at a starting level</x:v>
      </x:c>
      <x:c r="E50" s="16" t="str">
        <x:v>56 guests included for three nights; 44 need offsite rooms</x:v>
      </x:c>
      <x:c r="F50" s="16" t="n">
        <x:v>56</x:v>
      </x:c>
      <x:c r="G50" s="16" t="str">
        <x:v>Not clearly included; nearest airport is approximately one hour away and offsite guests need shuttles</x:v>
      </x:c>
      <x:c r="H50" s="16" t="str">
        <x:v>Conflicting official figures: EUR 313 per person in the cost PDF versus EUR 503 per person on the current wedding page</x:v>
      </x:c>
      <x:c r="I50" s="16" t="str">
        <x:v>Tax, service-charge and gratuity treatment are not explicit; official guide says costs are subject to change</x:v>
      </x:c>
      <x:c r="J50" s="16" t="str">
        <x:v>Welcome meal and pool BBQ/farewell are included in the cited essential catering schedule</x:v>
      </x:c>
      <x:c r="K50" s="16" t="str">
        <x:v>Sample itinerary permits an afterparty to approximately 2:00 a.m.</x:v>
      </x:c>
      <x:c r="L50" s="16" t="str">
        <x:v>Approximately 2:00 a.m. in the sample itinerary; contractual and local sound terms must be verified</x:v>
      </x:c>
      <x:c r="M50" s="16" t="str">
        <x:v>Offsite rooms and transport, cost escalation beyond starting supplier allowances, and any tax/service items not stated; preferred planner is mandatory</x:v>
      </x:c>
      <x:c r="N50" s="16" t="str">
        <x:v>Medium due to conflicting official pricing</x:v>
      </x:c>
    </x:row>
    <x:row r="51">
      <x:c r="A51" s="16" t="str">
        <x:v>Chateau Les Crostes</x:v>
      </x:c>
      <x:c r="B51" s="16" t="str">
        <x:v>Low / quote-dependent</x:v>
      </x:c>
      <x:c r="C51" s="16" t="str">
        <x:v>Estate, 12 rooms and linen only; free supplier choice and no corkage represented publicly</x:v>
      </x:c>
      <x:c r="D51" s="16" t="str">
        <x:v>Not included</x:v>
      </x:c>
      <x:c r="E51" s="16" t="str">
        <x:v>About 28 onsite</x:v>
      </x:c>
      <x:c r="F51" s="16" t="str">
        <x:v>12 rooms / about 28</x:v>
      </x:c>
      <x:c r="G51" s="16" t="str">
        <x:v>Not included</x:v>
      </x:c>
      <x:c r="H51" s="16" t="str">
        <x:v>External catering; quote required</x:v>
      </x:c>
      <x:c r="I51" s="16" t="str">
        <x:v>Cleaning, breakfast and vendor/staff charges require itemization</x:v>
      </x:c>
      <x:c r="J51" s="16" t="str">
        <x:v>Possible during buyout; food/staffing extra</x:v>
      </x:c>
      <x:c r="K51" s="16" t="str">
        <x:v>No time restriction on music/no curfew represented publicly; put it in the contract</x:v>
      </x:c>
      <x:c r="L51" s="16" t="str">
        <x:v>No published curfew</x:v>
      </x:c>
      <x:c r="M51" s="16" t="str">
        <x:v>Coordination, catering/bar, breakfast, cleaning, tent/weather production, transport, decor, entertainment and photo/HMU</x:v>
      </x:c>
      <x:c r="N51" s="16" t="str">
        <x:v>Medium on property facts; low on total</x:v>
      </x:c>
    </x:row>
    <x:row r="52">
      <x:c r="A52" s="16" t="str">
        <x:v>Craveiral Farmhouse</x:v>
      </x:c>
      <x:c r="B52" s="16" t="str">
        <x:v>Low / quote-dependent</x:v>
      </x:c>
      <x:c r="C52" s="16" t="str">
        <x:v>Exclusive use, accommodation, breakfast and activities are consistently described; farm-to-table catering is in-house, but whether it is inside the €55,000 start is unresolved</x:v>
      </x:c>
      <x:c r="D52" s="16" t="str">
        <x:v>Not publicly itemized</x:v>
      </x:c>
      <x:c r="E52" s="16" t="str">
        <x:v>All 100 can sleep onsite in houses</x:v>
      </x:c>
      <x:c r="F52" s="16" t="str">
        <x:v>126–140 across 38 houses</x:v>
      </x:c>
      <x:c r="G52" s="16" t="str">
        <x:v>Not included; remote location makes transfers important</x:v>
      </x:c>
      <x:c r="H52" s="16" t="str">
        <x:v>Source conflict: one section says catering/drinks included while another says the starting price excludes F&amp;B</x:v>
      </x:c>
      <x:c r="I52" s="16" t="str">
        <x:v>Not clear from current public materials</x:v>
      </x:c>
      <x:c r="J52" s="16" t="str">
        <x:v>Activities, farm visit, pools/spa and multi-day dining are natural; exact meals require quote</x:v>
      </x:c>
      <x:c r="K52" s="16" t="str">
        <x:v>Possible within resort buyout; sound cutoff not published</x:v>
      </x:c>
      <x:c r="L52" s="16" t="str">
        <x:v>Not publicly stated</x:v>
      </x:c>
      <x:c r="M52" s="16" t="str">
        <x:v>Potentially all F&amp;B, plus décor, entertainment, transfers, photo/HMU and planning beyond venue support</x:v>
      </x:c>
      <x:c r="N52" s="16" t="str">
        <x:v>Low-medium due to package conflict</x:v>
      </x:c>
    </x:row>
    <x:row r="53">
      <x:c r="A53" s="16" t="str">
        <x:v>Gather Greene</x:v>
      </x:c>
      <x:c r="B53" s="16" t="str">
        <x:v>Low / quote-dependent</x:v>
      </x:c>
      <x:c r="C53" s="16" t="str">
        <x:v>Weekend spaces, Fri welcome, Sat event, unplugged afterparty, Pavilion/grounds, chairs/tables/firepits/lounge furniture and venue staff</x:v>
      </x:c>
      <x:c r="D53" s="16" t="str">
        <x:v>Base furniture included; florals/production extra</x:v>
      </x:c>
      <x:c r="E53" s="16" t="str">
        <x:v>17 king cabins, max 34, required two nights, separately booked</x:v>
      </x:c>
      <x:c r="F53" s="16" t="n">
        <x:v>34</x:v>
      </x:c>
      <x:c r="G53" s="16" t="str">
        <x:v>Not included</x:v>
      </x:c>
      <x:c r="H53" s="16" t="str">
        <x:v>Catering partner from USD 28,500; exact menu/bar unknown</x:v>
      </x:c>
      <x:c r="I53" s="16" t="str">
        <x:v>Unknown; rentals/staff/lodging tax/admin may add</x:v>
      </x:c>
      <x:c r="J53" s="16" t="str">
        <x:v>Friday welcome supported; other meals proposal-only</x:v>
      </x:c>
      <x:c r="K53" s="16" t="str">
        <x:v>Unplugged; exact cutoff unknown</x:v>
      </x:c>
      <x:c r="L53" s="16" t="str">
        <x:v>Not public; unplugged late night implies sound limits</x:v>
      </x:c>
      <x:c r="M53" s="16" t="str">
        <x:v>Cabins, much F&amp;B, transport and creative vendors</x:v>
      </x:c>
      <x:c r="N53" s="16" t="str">
        <x:v>Medium</x:v>
      </x:c>
    </x:row>
    <x:row r="54">
      <x:c r="A54" s="16" t="str">
        <x:v>Le Filigare Wine &amp; Country Relais</x:v>
      </x:c>
      <x:c r="B54" s="16" t="str">
        <x:v>Low / quote-dependent</x:v>
      </x:c>
      <x:c r="C54" s="16" t="str">
        <x:v>Exclusive stay in 14 apartments for up to 70, estate access and breakfast service; two built-in wet-weather event rooms</x:v>
      </x:c>
      <x:c r="D54" s="16" t="str">
        <x:v>External</x:v>
      </x:c>
      <x:c r="E54" s="16" t="str">
        <x:v>70 onsite; 30 offsite</x:v>
      </x:c>
      <x:c r="F54" s="16" t="n">
        <x:v>70</x:v>
      </x:c>
      <x:c r="G54" s="16" t="str">
        <x:v>Not included; offsite and airport shuttles required</x:v>
      </x:c>
      <x:c r="H54" s="16" t="str">
        <x:v>All wedding/event catering beyond breakfast is external; supplier choice is flexible</x:v>
      </x:c>
      <x:c r="I54" s="16" t="str">
        <x:v>VAT included in rental; external vendors' VAT/service/gratuity extra</x:v>
      </x:c>
      <x:c r="J54" s="16" t="str">
        <x:v>Possible anywhere on estate, but external catering and production are extra</x:v>
      </x:c>
      <x:c r="K54" s="16" t="str">
        <x:v>Indoor Veranda/Sala delle Volte support dancing; curfew not published</x:v>
      </x:c>
      <x:c r="L54" s="16" t="str">
        <x:v>Not public</x:v>
      </x:c>
      <x:c r="M54" s="16" t="str">
        <x:v>30 beds/shuttles, all event catering/bar, planner/coordinator, flowers/decor/rentals, music/AV, officiant and photo/HMU</x:v>
      </x:c>
      <x:c r="N54" s="16" t="str">
        <x:v>medium on rental; low on total</x:v>
      </x:c>
    </x:row>
    <x:row r="55">
      <x:c r="A55" s="16" t="str">
        <x:v>Masseria Montenapoleone</x:v>
      </x:c>
      <x:c r="B55" s="16" t="str">
        <x:v>Low / quote-dependent</x:v>
      </x:c>
      <x:c r="C55" s="16" t="str">
        <x:v>In-house cuisine and reception spaces; standard banquet reportedly includes cocktail, Prosecco, water, snacks, eight Puglian appetizers, courses, fruit and dessert</x:v>
      </x:c>
      <x:c r="D55" s="16" t="str">
        <x:v>Ceremony setup, photography, music and styling are offered as add-ons rather than confirmed inclusions</x:v>
      </x:c>
      <x:c r="E55" s="16" t="str">
        <x:v>23 rooms/suites in the current listing; exact bed count and buyout inventory must be confirmed</x:v>
      </x:c>
      <x:c r="F55" s="16" t="str">
        <x:v>Current listing shows 23 rooms/suites; older planner source reports approximately 42 guests</x:v>
      </x:c>
      <x:c r="G55" s="16" t="str">
        <x:v>Not published as included; approximately 40-50 minutes from Brindisi Airport and 55-65 minutes from Bari</x:v>
      </x:c>
      <x:c r="H55" s="16" t="str">
        <x:v>Minimum guest covers apply, but no amount is published; in-house catering is mandatory</x:v>
      </x:c>
      <x:c r="I55" s="16" t="str">
        <x:v>VAT, staffing, service charge and gratuity are unknown</x:v>
      </x:c>
      <x:c r="J55" s="16" t="str">
        <x:v>Possible within a multi-night stay by quote, but not included in a published package</x:v>
      </x:c>
      <x:c r="K55" s="16" t="str">
        <x:v>Unknown</x:v>
      </x:c>
      <x:c r="L55" s="16" t="str">
        <x:v>Unknown</x:v>
      </x:c>
      <x:c r="M55" s="16" t="str">
        <x:v>Planning, styling, music, photography, hair/makeup, transfers, excess guest rooms, service/tax items and extra events unless quoted</x:v>
      </x:c>
      <x:c r="N55" s="16" t="str">
        <x:v>Low-medium</x:v>
      </x:c>
    </x:row>
    <x:row r="56">
      <x:c r="A56" s="16" t="str">
        <x:v>Masseria Potenti</x:v>
      </x:c>
      <x:c r="B56" s="16" t="str">
        <x:v>Low / quote-dependent</x:v>
      </x:c>
      <x:c r="C56" s="16" t="str">
        <x:v>Estate lodging when bought out, breakfasts according to room rate, in-house restaurant/catering and estate wine; tailored menus and planning assistance</x:v>
      </x:c>
      <x:c r="D56" s="16" t="str">
        <x:v>Planner can source flowers and suppliers, but decor is not stated as included</x:v>
      </x:c>
      <x:c r="E56" s="16" t="str">
        <x:v>Official wedding page says up to 62 guests; independent source reports 22 rooms/villas and a three-night minimum</x:v>
      </x:c>
      <x:c r="F56" s="16" t="n">
        <x:v>62</x:v>
      </x:c>
      <x:c r="G56" s="16" t="str">
        <x:v>Planner can assist with transfers, but they are not included; approximately 60 km from Brindisi and 80 km from Bari</x:v>
      </x:c>
      <x:c r="H56" s="16" t="str">
        <x:v>Independent benchmark from EUR 198 per wedding guest; welcome and farewell meals are additional</x:v>
      </x:c>
      <x:c r="I56" s="16" t="str">
        <x:v>VAT, staffing, service charge and gratuity are not published</x:v>
      </x:c>
      <x:c r="J56" s="16" t="str">
        <x:v>Can be hosted through the estate restaurant by custom quote</x:v>
      </x:c>
      <x:c r="K56" s="16" t="str">
        <x:v>Independent source reports no noise limit; verify contract and local permit terms</x:v>
      </x:c>
      <x:c r="L56" s="16" t="str">
        <x:v>No noise limit reported by independent planner; official terms unavailable</x:v>
      </x:c>
      <x:c r="M56" s="16" t="str">
        <x:v>External suppliers, florals/decor, entertainment, transfers, photography, hair/makeup, offsite rooms for excess guests and unspecified taxes/service</x:v>
      </x:c>
      <x:c r="N56" s="16" t="str">
        <x:v>Medium-low</x:v>
      </x:c>
    </x:row>
    <x:row r="57">
      <x:c r="A57" s="16" t="str">
        <x:v>Monteverde at Oldstone</x:v>
      </x:c>
      <x:c r="B57" s="16" t="str">
        <x:v>Low / quote-dependent</x:v>
      </x:c>
      <x:c r="C57" s="16" t="str">
        <x:v>Permanent tent/floor/dance floor/liner/lighting/restroom/generator, rentals/tableware, setup/cleanup, planning, valet and dining</x:v>
      </x:c>
      <x:c r="D57" s="16" t="str">
        <x:v>Core tent infrastructure included; bespoke decor extra</x:v>
      </x:c>
      <x:c r="E57" s="16" t="str">
        <x:v>Rooms/suites reported; count/rate not confirmed</x:v>
      </x:c>
      <x:c r="F57" s="16" t="str"/>
      <x:c r="G57" s="16" t="str">
        <x:v>Valet included; shuttles not confirmed</x:v>
      </x:c>
      <x:c r="H57" s="16" t="str">
        <x:v>From USD 416 pp</x:v>
      </x:c>
      <x:c r="I57" s="16" t="str">
        <x:v>Unknown</x:v>
      </x:c>
      <x:c r="J57" s="16" t="str">
        <x:v>Rehearsal dinner separate</x:v>
      </x:c>
      <x:c r="K57" s="16" t="str">
        <x:v>Room reported; terms unknown</x:v>
      </x:c>
      <x:c r="L57" s="16" t="str">
        <x:v>Unknown</x:v>
      </x:c>
      <x:c r="M57" s="16" t="str">
        <x:v>Lodging, weekend meals, shuttles and creative vendors</x:v>
      </x:c>
      <x:c r="N57" s="16" t="str">
        <x:v>Medium</x:v>
      </x:c>
    </x:row>
    <x:row r="58">
      <x:c r="A58" s="16" t="str">
        <x:v>Tenute del Cerro</x:v>
      </x:c>
      <x:c r="B58" s="16" t="str">
        <x:v>Low / quote-dependent</x:v>
      </x:c>
      <x:c r="C58" s="16" t="str">
        <x:v>Property-specific</x:v>
      </x:c>
      <x:c r="D58" s="16" t="str">
        <x:v>Quote required</x:v>
      </x:c>
      <x:c r="E58" s="16" t="str">
        <x:v>Property-specific</x:v>
      </x:c>
      <x:c r="F58" s="16" t="str">
        <x:v>Current official property copy states 19 rooms; occupancy requires a rooming list</x:v>
      </x:c>
      <x:c r="G58" s="16" t="str">
        <x:v>Quote required</x:v>
      </x:c>
      <x:c r="H58" s="16" t="str">
        <x:v>Quote required</x:v>
      </x:c>
      <x:c r="I58" s="16" t="str">
        <x:v>Quote required</x:v>
      </x:c>
      <x:c r="J58" s="16" t="str">
        <x:v>Quote required</x:v>
      </x:c>
      <x:c r="K58" s="16" t="str">
        <x:v>Quote required</x:v>
      </x:c>
      <x:c r="L58" s="16" t="str">
        <x:v>Quote required</x:v>
      </x:c>
      <x:c r="M58" s="16" t="str">
        <x:v>Cannot compare until the exact estate is named</x:v>
      </x:c>
      <x:c r="N58" s="16" t="str">
        <x:v>Low</x:v>
      </x:c>
    </x:row>
    <x:row r="59">
      <x:c r="A59" s="16" t="str">
        <x:v>Villa Nemora</x:v>
      </x:c>
      <x:c r="B59" s="16" t="str">
        <x:v>Low / quote-dependent</x:v>
      </x:c>
      <x:c r="C59" s="16" t="str">
        <x:v>Exclusive property, accommodation for 58, all event fees, coordination, breakfast and daily cleaning</x:v>
      </x:c>
      <x:c r="D59" s="16" t="str">
        <x:v>External</x:v>
      </x:c>
      <x:c r="E59" s="16" t="str">
        <x:v>58 onsite across three units; up to about 40 more in walkable nearby villa/rooms</x:v>
      </x:c>
      <x:c r="F59" s="16" t="n">
        <x:v>58</x:v>
      </x:c>
      <x:c r="G59" s="16" t="str">
        <x:v>Not included publicly</x:v>
      </x:c>
      <x:c r="H59" s="16" t="str">
        <x:v>Self-catering communal kitchen; external catering</x:v>
      </x:c>
      <x:c r="I59" s="16" t="str">
        <x:v>Not disclosed beyond listed inclusions</x:v>
      </x:c>
      <x:c r="J59" s="16" t="str">
        <x:v>Estate layout is ideal for welcome dinner, ceremony and pool brunch, but all F&amp;B/production external</x:v>
      </x:c>
      <x:c r="K59" s="16" t="str">
        <x:v>Multiple event zones possible; curfew not public</x:v>
      </x:c>
      <x:c r="L59" s="16" t="str">
        <x:v>Not public</x:v>
      </x:c>
      <x:c r="M59" s="16" t="str">
        <x:v>Up to 42 nearby beds, all event F&amp;B/bar, flowers/decor/rentals, music/AV, transport, officiant and photo/HMU</x:v>
      </x:c>
      <x:c r="N59" s="16" t="str">
        <x:v>medium on rental; low on total</x:v>
      </x:c>
    </x:row>
    <x:row r="60">
      <x:c r="A60" s="16" t="str">
        <x:v>Villa Pitiana</x:v>
      </x:c>
      <x:c r="B60" s="16" t="str">
        <x:v>Low / quote-dependent</x:v>
      </x:c>
      <x:c r="C60" s="16" t="str">
        <x:v>55 rooms/apartments for up to 140, full buffet breakfast, all common event spaces and in-house planning coordinator</x:v>
      </x:c>
      <x:c r="D60" s="16" t="str">
        <x:v>Flowers/decor must use venue's exclusive supplier and are extra</x:v>
      </x:c>
      <x:c r="E60" s="16" t="str">
        <x:v>Included for up to 140, therefore all 100 onsite</x:v>
      </x:c>
      <x:c r="F60" s="16" t="n">
        <x:v>140</x:v>
      </x:c>
      <x:c r="G60" s="16" t="str">
        <x:v>Not included publicly</x:v>
      </x:c>
      <x:c r="H60" s="16" t="str">
        <x:v>All F&amp;B exclusive to in-house restaurant/bar; menus and minimum quote-only</x:v>
      </x:c>
      <x:c r="I60" s="16" t="str">
        <x:v>Reception fee is explicitly plus 22% VAT; tax/service treatment on rooms and F&amp;B needs confirmation</x:v>
      </x:c>
      <x:c r="J60" s="16" t="str">
        <x:v>In-house restaurant offers BBQ, pizza party, brunch and family-style dinners, all extra</x:v>
      </x:c>
      <x:c r="K60" s="16" t="str">
        <x:v>Indoor halls available; curfew/bar terms not public</x:v>
      </x:c>
      <x:c r="L60" s="16" t="str">
        <x:v>Not public</x:v>
      </x:c>
      <x:c r="M60" s="16" t="str">
        <x:v>All event F&amp;B, exclusive flower/decor and light/sound vendors, music, transfers, officiant, photo/HMU and undisclosed VAT/service</x:v>
      </x:c>
      <x:c r="N60" s="16" t="str">
        <x:v>medium-low</x:v>
      </x:c>
    </x:row>
    <x:row r="61">
      <x:c r="A61" s="16" t="str">
        <x:v>Arrow Park</x:v>
      </x:c>
      <x:c r="B61" s="16" t="str">
        <x:v>Medium-high</x:v>
      </x:c>
      <x:c r="C61" s="16" t="str">
        <x:v>Estate, 12 rooms, coordinator/staff, rentals/linens/setup, parking/carts, two-hour bonfire afterparty with drinks for 50</x:v>
      </x:c>
      <x:c r="D61" s="16" t="str">
        <x:v>Base furniture/linens included; florals/design extra</x:v>
      </x:c>
      <x:c r="E61" s="16" t="str">
        <x:v>12 mansion rooms sleep 28, included wedding night</x:v>
      </x:c>
      <x:c r="F61" s="16" t="n">
        <x:v>28</x:v>
      </x:c>
      <x:c r="G61" s="16" t="str">
        <x:v>Two carts/parking included; external shuttle not</x:v>
      </x:c>
      <x:c r="H61" s="16" t="str">
        <x:v>100 guests peak Saturday</x:v>
      </x:c>
      <x:c r="I61" s="16" t="str">
        <x:v>Private proposal: event portion includes 23% service + 8.125% NY sales tax; rooms include 8.125% sales tax + 5% occupancy tax; catering/bar fee treatment is separate</x:v>
      </x:c>
      <x:c r="J61" s="16" t="str">
        <x:v>Separate</x:v>
      </x:c>
      <x:c r="K61" s="16" t="str">
        <x:v>Two-hour bonfire/attendant/beer-seltzer for 50 included</x:v>
      </x:c>
      <x:c r="L61" s="16" t="str">
        <x:v>Four-hour reception plus two-hour bonfire afterparty; get exact music cutoff in contract</x:v>
      </x:c>
      <x:c r="M61" s="16" t="str">
        <x:v>Rooms beyond 28, shuttles, welcome/brunch and creative vendors</x:v>
      </x:c>
      <x:c r="N61" s="16" t="str">
        <x:v>High</x:v>
      </x:c>
    </x:row>
    <x:row r="62">
      <x:c r="A62" s="16" t="str">
        <x:v>Crested Hen Farms</x:v>
      </x:c>
      <x:c r="B62" s="16" t="str">
        <x:v>Medium-high</x:v>
      </x:c>
      <x:c r="C62" s="16" t="str">
        <x:v>Farm tables/chairs, mismatched china/silverware, bonfire, two nights in guest house/cottage, valet and venue props</x:v>
      </x:c>
      <x:c r="D62" s="16" t="str">
        <x:v>Furniture, tableware and props included; florals/design extra</x:v>
      </x:c>
      <x:c r="E62" s="16" t="str">
        <x:v>About 21 onsite included</x:v>
      </x:c>
      <x:c r="F62" s="16" t="n">
        <x:v>21</x:v>
      </x:c>
      <x:c r="G62" s="16" t="str">
        <x:v>Valet included; guest shuttles extra</x:v>
      </x:c>
      <x:c r="H62" s="16" t="str">
        <x:v>Outside catering/bar; not bundled</x:v>
      </x:c>
      <x:c r="I62" s="16" t="str">
        <x:v>Request sales tax, service/staffing, gratuity and any vendor fees</x:v>
      </x:c>
      <x:c r="J62" s="16" t="str">
        <x:v>Rehearsal dinner available as add-on</x:v>
      </x:c>
      <x:c r="K62" s="16" t="str">
        <x:v>Available at the inn as an add-on; exact hours/cost required</x:v>
      </x:c>
      <x:c r="L62" s="16" t="str">
        <x:v>Quote required</x:v>
      </x:c>
      <x:c r="M62" s="16" t="str">
        <x:v>Food/bar, tent/weather infrastructure, most guest rooms, extra events, transport, decor, music, planning and photo/HMU</x:v>
      </x:c>
      <x:c r="N62" s="16" t="str">
        <x:v>Medium-high on user quote; medium on total</x:v>
      </x:c>
    </x:row>
    <x:row r="63">
      <x:c r="A63" s="16" t="str">
        <x:v>Full Moon Resort</x:v>
      </x:c>
      <x:c r="B63" s="16" t="str">
        <x:v>High</x:v>
      </x:c>
      <x:c r="C63" s="16" t="str">
        <x:v>Site, planning, tasting, ceremony/rain cover, cocktail food, dinner, Pavilion, tables/chairs/linens/equipment, three-hour premium bar, staff and service charge</x:v>
      </x:c>
      <x:c r="D63" s="16" t="str">
        <x:v>Base setup/rentals included; florals/design extra</x:v>
      </x:c>
      <x:c r="E63" s="16" t="str">
        <x:v>Inn/cottages/lodges for 150+; separate rooms, taxes, meal/admin charges</x:v>
      </x:c>
      <x:c r="F63" s="16" t="n">
        <x:v>150</x:v>
      </x:c>
      <x:c r="G63" s="16" t="str">
        <x:v>On-property walkability; exact shuttle scope not public</x:v>
      </x:c>
      <x:c r="H63" s="16" t="str">
        <x:v>No public minimum; Friday/Sunday meals separate</x:v>
      </x:c>
      <x:c r="I63" s="16" t="str">
        <x:v>Wedding-day service included; lodging/extra-event fees separate</x:v>
      </x:c>
      <x:c r="J63" s="16" t="str">
        <x:v>Friday BBQ/campfires/s'mores and Sunday brunch separately priced</x:v>
      </x:c>
      <x:c r="K63" s="16" t="str">
        <x:v>Roadhouse up to 150 standing; separate cost</x:v>
      </x:c>
      <x:c r="L63" s="16" t="str">
        <x:v>Unknown</x:v>
      </x:c>
      <x:c r="M63" s="16" t="str">
        <x:v>Lodging, weekend meals, Roadhouse, creative vendors</x:v>
      </x:c>
      <x:c r="N63" s="16" t="str">
        <x:v>Medium</x:v>
      </x:c>
    </x:row>
    <x:row r="64">
      <x:c r="A64" s="16" t="str">
        <x:v>Magnanini Winery</x:v>
      </x:c>
      <x:c r="B64" s="16" t="str">
        <x:v>Medium-high</x:v>
      </x:c>
      <x:c r="C64" s="16" t="str">
        <x:v>Family-style meal, cocktail food, five-hour open bar, top shelf/estate wine, coordinator/maitre d'/staff, basic rentals/linens and uplighting</x:v>
      </x:c>
      <x:c r="D64" s="16" t="str">
        <x:v>Basic linens/tabletop/uplighting included; florals extra</x:v>
      </x:c>
      <x:c r="E64" s="16" t="str">
        <x:v>Private cabin/stay mentioned; exact capacity/nights unknown</x:v>
      </x:c>
      <x:c r="F64" s="16" t="str"/>
      <x:c r="G64" s="16" t="str">
        <x:v>Not included</x:v>
      </x:c>
      <x:c r="H64" s="16" t="str">
        <x:v>USD 15,000</x:v>
      </x:c>
      <x:c r="I64" s="16" t="str">
        <x:v>22% service + 8% sales tax on F&amp;B</x:v>
      </x:c>
      <x:c r="J64" s="16" t="str">
        <x:v>Rehearsal dinner/brunch possible separately</x:v>
      </x:c>
      <x:c r="K64" s="16" t="str">
        <x:v>Not included publicly</x:v>
      </x:c>
      <x:c r="L64" s="16" t="str">
        <x:v>Unknown</x:v>
      </x:c>
      <x:c r="M64" s="16" t="str">
        <x:v>Creative vendors, transport, weekend meals and full lodging</x:v>
      </x:c>
      <x:c r="N64" s="16" t="str">
        <x:v>High</x:v>
      </x:c>
    </x:row>
    <x:row r="65">
      <x:c r="A65" s="16" t="str">
        <x:v>A Private Estate Events</x:v>
      </x:c>
      <x:c r="B65" s="16" t="str">
        <x:v>Low / quote-dependent</x:v>
      </x:c>
      <x:c r="C65" s="16" t="str">
        <x:v>Grounds, Barn Complex prep kitchen/bathrooms, tables/chairs/Adirondacks and property-manager support</x:v>
      </x:c>
      <x:c r="D65" s="16" t="str">
        <x:v>Unknown</x:v>
      </x:c>
      <x:c r="E65" s="16" t="str">
        <x:v>Unknown</x:v>
      </x:c>
      <x:c r="F65" s="16" t="n">
        <x:v>18</x:v>
      </x:c>
      <x:c r="G65" s="16" t="str">
        <x:v>Unknown</x:v>
      </x:c>
      <x:c r="H65" s="16" t="str">
        <x:v>Unknown</x:v>
      </x:c>
      <x:c r="I65" s="16" t="str">
        <x:v>Unknown</x:v>
      </x:c>
      <x:c r="J65" s="16" t="str">
        <x:v>Unknown</x:v>
      </x:c>
      <x:c r="K65" s="16" t="str">
        <x:v>No acceptable late-night music option per user outreach</x:v>
      </x:c>
      <x:c r="L65" s="16" t="str">
        <x:v>Music ends 11pm; late afterparty would be offsite</x:v>
      </x:c>
      <x:c r="M65" s="16" t="str">
        <x:v>Unknown</x:v>
      </x:c>
      <x:c r="N65" s="16" t="str">
        <x:v>User decision only</x:v>
      </x:c>
    </x:row>
    <x:row r="66">
      <x:c r="A66" s="16" t="str">
        <x:v>Adirondack Camp</x:v>
      </x:c>
      <x:c r="B66" s="16" t="str">
        <x:v>High</x:v>
      </x:c>
      <x:c r="C66" s="16" t="str">
        <x:v>Venue, lodging/linens, five meals, welcome dinner, cocktail/reception food, cake/cupcakes/s'mores, staffed bar supplies, coordination, activities, carts and scheduled hotel shuttle</x:v>
      </x:c>
      <x:c r="D66" s="16" t="str">
        <x:v>Core setup included; bespoke florals/design not itemized</x:v>
      </x:c>
      <x:c r="E66" s="16" t="str">
        <x:v>Included for all 150</x:v>
      </x:c>
      <x:c r="F66" s="16" t="n">
        <x:v>150</x:v>
      </x:c>
      <x:c r="G66" s="16" t="str">
        <x:v>User review research indicates too much guest walking across a dispersed property; remove from active consideration</x:v>
      </x:c>
      <x:c r="H66" s="16" t="str">
        <x:v>Bundled</x:v>
      </x:c>
      <x:c r="I66" s="16" t="str">
        <x:v>Tax and standard gratuity on catering/service components</x:v>
      </x:c>
      <x:c r="J66" s="16" t="str">
        <x:v>Welcome dinner + five-meal program included</x:v>
      </x:c>
      <x:c r="K66" s="16" t="str">
        <x:v>Late-night food only luxury; cutoff unknown</x:v>
      </x:c>
      <x:c r="L66" s="16" t="str">
        <x:v>Unknown</x:v>
      </x:c>
      <x:c r="M66" s="16" t="str">
        <x:v>Alcohol itself and creative vendors</x:v>
      </x:c>
      <x:c r="N66" s="16" t="str">
        <x:v>Medium-high</x:v>
      </x:c>
    </x:row>
    <x:row r="67">
      <x:c r="A67" s="16" t="str">
        <x:v>Chateau de Sanse</x:v>
      </x:c>
      <x:c r="B67" s="16" t="str">
        <x:v>Low / quote-dependent</x:v>
      </x:c>
      <x:c r="C67" s="16" t="str">
        <x:v>Exclusive hotel, in-house chef/bar and weekend event capability; exact meals/package need itemization</x:v>
      </x:c>
      <x:c r="D67" s="16" t="str">
        <x:v>Unknown</x:v>
      </x:c>
      <x:c r="E67" s="16" t="str">
        <x:v>32-43 onsite</x:v>
      </x:c>
      <x:c r="F67" s="16" t="str">
        <x:v>16 rooms / 32 double occupancy, up to about 43 with rollaways</x:v>
      </x:c>
      <x:c r="G67" s="16" t="str">
        <x:v>Unknown</x:v>
      </x:c>
      <x:c r="H67" s="16" t="str">
        <x:v>In-house food/bar; starting prices cannot safely be treated as 100-person all-in</x:v>
      </x:c>
      <x:c r="I67" s="16" t="str">
        <x:v>Unknown</x:v>
      </x:c>
      <x:c r="J67" s="16" t="str">
        <x:v>Possible</x:v>
      </x:c>
      <x:c r="K67" s="16" t="str">
        <x:v>Described as possible into early morning; exact contract hour required</x:v>
      </x:c>
      <x:c r="L67" s="16" t="str">
        <x:v>Unknown</x:v>
      </x:c>
      <x:c r="M67" s="16" t="str">
        <x:v>Unknown</x:v>
      </x:c>
      <x:c r="N67" s="16" t="str">
        <x:v>User decision only</x:v>
      </x:c>
    </x:row>
    <x:row r="68">
      <x:c r="A68" s="16" t="str">
        <x:v>Glynwood</x:v>
      </x:c>
      <x:c r="B68" s="16" t="str">
        <x:v>Low / quote-dependent</x:v>
      </x:c>
      <x:c r="C68" s="16" t="str">
        <x:v>Wedding, rehearsal-dinner and brunch facility use; event managers; catering kitchen; breakfast for overnight guests; fireplaces and site operations</x:v>
      </x:c>
      <x:c r="D68" s="16" t="str">
        <x:v>Not included</x:v>
      </x:c>
      <x:c r="E68" s="16" t="str">
        <x:v>All four units mandatory for two nights; about 42 onsite</x:v>
      </x:c>
      <x:c r="F68" s="16" t="str">
        <x:v>About 42-44 onsite; reconcile the private rooming list with the current official 44-bed statement</x:v>
      </x:c>
      <x:c r="G68" s="16" t="str">
        <x:v>Not included; valet may be required above 150</x:v>
      </x:c>
      <x:c r="H68" s="16" t="str">
        <x:v>Professional caterer/bar required; no bundled F&amp;B</x:v>
      </x:c>
      <x:c r="I68" s="16" t="str">
        <x:v>8.375% lodging tax; other tax/service/gratuity must be quoted</x:v>
      </x:c>
      <x:c r="J68" s="16" t="str">
        <x:v>Facility time included; food/staffing extra</x:v>
      </x:c>
      <x:c r="K68" s="16" t="str">
        <x:v>Indoor afterparty possible to 2am; $500/hour after midnight</x:v>
      </x:c>
      <x:c r="L68" s="16" t="str">
        <x:v>Outdoor music to midnight; Saturday quiet hours at 2am</x:v>
      </x:c>
      <x:c r="M68" s="16" t="str">
        <x:v>Mandatory tent, catering/bar, planner, restrooms above 120, insurance, transport/valet, decor, entertainment, photo/HMU</x:v>
      </x:c>
      <x:c r="N68" s="16" t="str">
        <x:v>High on private proposal</x:v>
      </x:c>
    </x:row>
    <x:row r="69">
      <x:c r="A69" s="16" t="str">
        <x:v>Masseria Alchimia</x:v>
      </x:c>
      <x:c r="B69" s="16" t="str">
        <x:v>Low / quote-dependent</x:v>
      </x:c>
      <x:c r="C69" s="16" t="str">
        <x:v>Quote not provided in workbook</x:v>
      </x:c>
      <x:c r="D69" s="16" t="str">
        <x:v>Unknown</x:v>
      </x:c>
      <x:c r="E69" s="16" t="str">
        <x:v>Unknown</x:v>
      </x:c>
      <x:c r="F69" s="16" t="str">
        <x:v>About 8 rooms / 20 beds</x:v>
      </x:c>
      <x:c r="G69" s="16" t="str">
        <x:v>Unknown</x:v>
      </x:c>
      <x:c r="H69" s="16" t="str">
        <x:v>Unknown</x:v>
      </x:c>
      <x:c r="I69" s="16" t="str">
        <x:v>Unknown</x:v>
      </x:c>
      <x:c r="J69" s="16" t="str">
        <x:v>Unknown</x:v>
      </x:c>
      <x:c r="K69" s="16" t="str">
        <x:v>Unknown</x:v>
      </x:c>
      <x:c r="L69" s="16" t="str">
        <x:v>Unknown</x:v>
      </x:c>
      <x:c r="M69" s="16" t="str">
        <x:v>Unknown</x:v>
      </x:c>
      <x:c r="N69" s="16" t="str">
        <x:v>User decision only</x:v>
      </x:c>
    </x:row>
    <x:row r="70">
      <x:c r="A70" s="16" t="str">
        <x:v>The Old Mill at Audrey's Farmhouse</x:v>
      </x:c>
      <x:c r="B70" s="16" t="str">
        <x:v>Low / quote-dependent</x:v>
      </x:c>
      <x:c r="C70" s="16" t="str">
        <x:v>Farm tables/chairs/benches, dinnerware, sound/lighting and event staff; F&amp;B tier includes cheese/charcuterie, five-hour beer/wine/cocktail bar, buffet and desserts</x:v>
      </x:c>
      <x:c r="D70" s="16" t="str">
        <x:v>Furniture/tableware included; florals and styling extra</x:v>
      </x:c>
      <x:c r="E70" s="16" t="str">
        <x:v>Sleeps 50; rooms can be paid directly by guests; 12% lodging tax</x:v>
      </x:c>
      <x:c r="F70" s="16" t="n">
        <x:v>50</x:v>
      </x:c>
      <x:c r="G70" s="16" t="str">
        <x:v>Not included</x:v>
      </x:c>
      <x:c r="H70" s="16" t="str">
        <x:v>$195/person and $28,000 minimum; 20% service plus 8% tax</x:v>
      </x:c>
      <x:c r="I70" s="16" t="str">
        <x:v>Venue 8% tax; F&amp;B 20% service + 8% tax; lodging 12% tax</x:v>
      </x:c>
      <x:c r="J70" s="16" t="str">
        <x:v>Possible; separately priced</x:v>
      </x:c>
      <x:c r="K70" s="16" t="str">
        <x:v>Rec Room/open courtyard only, ending at midnight</x:v>
      </x:c>
      <x:c r="L70" s="16" t="str">
        <x:v>Afterparty ends at midnight</x:v>
      </x:c>
      <x:c r="M70" s="16" t="str">
        <x:v>Most lodging if couple-funded, extra events, transport, florals, music/DJ, planning and photo/HMU</x:v>
      </x:c>
      <x:c r="N70" s="16" t="str">
        <x:v>High on private brochure</x:v>
      </x:c>
    </x:row>
    <x:row r="71">
      <x:c r="A71" s="16" t="str">
        <x:v>Bello Giorno Estate</x:v>
      </x:c>
      <x:c r="B71" s="16" t="str">
        <x:v>Low / quote-dependent</x:v>
      </x:c>
      <x:c r="C71" s="16" t="str">
        <x:v>Food/bar tier, cake, linens, staff, sound, dance floor and prep cottage</x:v>
      </x:c>
      <x:c r="D71" s="16" t="str">
        <x:v>Personal florals/decor extra</x:v>
      </x:c>
      <x:c r="E71" s="16" t="str">
        <x:v>Prep cottage only; no overnight rooms</x:v>
      </x:c>
      <x:c r="F71" s="16" t="n">
        <x:v>0</x:v>
      </x:c>
      <x:c r="G71" s="16" t="str">
        <x:v>Not included</x:v>
      </x:c>
      <x:c r="H71" s="16" t="str">
        <x:v>Unknown</x:v>
      </x:c>
      <x:c r="I71" s="16" t="str">
        <x:v>Unknown</x:v>
      </x:c>
      <x:c r="J71" s="16" t="str">
        <x:v>Not bundled</x:v>
      </x:c>
      <x:c r="K71" s="16" t="str">
        <x:v>Unknown</x:v>
      </x:c>
      <x:c r="L71" s="16" t="str">
        <x:v>Unknown</x:v>
      </x:c>
      <x:c r="M71" s="16" t="str">
        <x:v>Lodging, transport and creative vendors</x:v>
      </x:c>
      <x:c r="N71" s="16" t="str">
        <x:v>High</x:v>
      </x:c>
    </x:row>
    <x:row r="72">
      <x:c r="A72" s="16" t="str">
        <x:v>Benmarl Winery</x:v>
      </x:c>
      <x:c r="B72" s="16" t="str">
        <x:v>Low / quote-dependent</x:v>
      </x:c>
      <x:c r="C72" s="16" t="str">
        <x:v>No current source-backed inclusions</x:v>
      </x:c>
      <x:c r="D72" s="16" t="str">
        <x:v>Unknown</x:v>
      </x:c>
      <x:c r="E72" s="16" t="str">
        <x:v>No verified lodging</x:v>
      </x:c>
      <x:c r="F72" s="16" t="n">
        <x:v>0</x:v>
      </x:c>
      <x:c r="G72" s="16" t="str">
        <x:v>Unknown</x:v>
      </x:c>
      <x:c r="H72" s="16" t="str">
        <x:v>Unknown</x:v>
      </x:c>
      <x:c r="I72" s="16" t="str">
        <x:v>Unknown</x:v>
      </x:c>
      <x:c r="J72" s="16" t="str">
        <x:v>Unknown</x:v>
      </x:c>
      <x:c r="K72" s="16" t="str">
        <x:v>Unknown</x:v>
      </x:c>
      <x:c r="L72" s="16" t="str">
        <x:v>Unknown</x:v>
      </x:c>
      <x:c r="M72" s="16" t="str">
        <x:v>Cannot be determined</x:v>
      </x:c>
      <x:c r="N72" s="16" t="str">
        <x:v>Very low</x:v>
      </x:c>
    </x:row>
    <x:row r="73">
      <x:c r="A73" s="16" t="str">
        <x:v>Castello La Leccia</x:v>
      </x:c>
      <x:c r="B73" s="16" t="str">
        <x:v>Low / quote-dependent</x:v>
      </x:c>
      <x:c r="C73" s="16" t="str">
        <x:v>Estate accommodation and venue; catering terms vary by headcount</x:v>
      </x:c>
      <x:c r="D73" s="16" t="str">
        <x:v>Not publicly included</x:v>
      </x:c>
      <x:c r="E73" s="16" t="str">
        <x:v>17 rooms / about 34 guests</x:v>
      </x:c>
      <x:c r="F73" s="16" t="n">
        <x:v>34</x:v>
      </x:c>
      <x:c r="G73" s="16" t="str">
        <x:v>Not included</x:v>
      </x:c>
      <x:c r="H73" s="16" t="str">
        <x:v>Venue catering to about 45; exclusive caterer above that</x:v>
      </x:c>
      <x:c r="I73" s="16" t="str">
        <x:v>Quote required</x:v>
      </x:c>
      <x:c r="J73" s="16" t="str">
        <x:v>Possible during buyout; meals extra</x:v>
      </x:c>
      <x:c r="K73" s="16" t="str">
        <x:v>Quote required</x:v>
      </x:c>
      <x:c r="L73" s="16" t="str">
        <x:v>Quote required</x:v>
      </x:c>
      <x:c r="M73" s="16" t="str">
        <x:v>Most catering, production, transport, decor, entertainment and photo/HMU</x:v>
      </x:c>
      <x:c r="N73" s="16" t="str">
        <x:v>High on capacity</x:v>
      </x:c>
    </x:row>
    <x:row r="74">
      <x:c r="A74" s="16" t="str">
        <x:v>Pendry Natirar</x:v>
      </x:c>
      <x:c r="B74" s="16" t="str">
        <x:v>Low / quote-dependent</x:v>
      </x:c>
      <x:c r="C74" s="16" t="str">
        <x:v>In-house culinary/bar, ballroom or mansion spaces, dressing suites and Pendry event service; rental/decor scope quote-only</x:v>
      </x:c>
      <x:c r="D74" s="16" t="str">
        <x:v>Not itemized; florals and bespoke design additional</x:v>
      </x:c>
      <x:c r="E74" s="16" t="str">
        <x:v>68 guestrooms including 21 suites; separate; sleeping occupancy not published</x:v>
      </x:c>
      <x:c r="F74" s="16" t="str"/>
      <x:c r="G74" s="16" t="str">
        <x:v>No wedding shuttle published</x:v>
      </x:c>
      <x:c r="H74" s="16" t="str">
        <x:v>USD 50,000-90,000</x:v>
      </x:c>
      <x:c r="I74" s="16" t="str">
        <x:v>26% service plus NJ tax; gratuity treatment undisclosed</x:v>
      </x:c>
      <x:c r="J74" s="16" t="str">
        <x:v>Welcome/rehearsal/brunch separate</x:v>
      </x:c>
      <x:c r="K74" s="16" t="str">
        <x:v>Late-night custom events possible</x:v>
      </x:c>
      <x:c r="L74" s="16" t="str">
        <x:v>Amplified music listed indoors; exact end quote-only</x:v>
      </x:c>
      <x:c r="M74" s="16" t="str">
        <x:v>Rooms, transfers, weekend events and all creative vendors</x:v>
      </x:c>
      <x:c r="N74" s="16" t="str">
        <x:v>High</x:v>
      </x:c>
    </x:row>
    <x:row r="75">
      <x:c r="A75" s="16" t="str">
        <x:v>Villa Catureglio</x:v>
      </x:c>
      <x:c r="B75" s="16" t="str">
        <x:v>Low / quote-dependent</x:v>
      </x:c>
      <x:c r="C75" s="16" t="str">
        <x:v>Exclusive venue and onsite accommodation for 41; official page says VAT included and planning advice available</x:v>
      </x:c>
      <x:c r="D75" s="16" t="str">
        <x:v>External/quote-only</x:v>
      </x:c>
      <x:c r="E75" s="16" t="str">
        <x:v>Included for 41; nearby accommodation required for the remainder at an eligible guest count</x:v>
      </x:c>
      <x:c r="F75" s="16" t="n">
        <x:v>41</x:v>
      </x:c>
      <x:c r="G75" s="16" t="str">
        <x:v>Not included publicly</x:v>
      </x:c>
      <x:c r="H75" s="16" t="str">
        <x:v>Catering and drinks POA via recommended caterers</x:v>
      </x:c>
      <x:c r="I75" s="16" t="str">
        <x:v>Official page says VAT included in three-night packages; other service/tip terms not public</x:v>
      </x:c>
      <x:c r="J75" s="16" t="str">
        <x:v>Welcome dinner and recovery brunch/pool party can be arranged, not included in the EUR 20,000 anchor</x:v>
      </x:c>
      <x:c r="K75" s="16" t="str">
        <x:v>Wedinspire lists no music curfew/no curfew, but official contract should govern</x:v>
      </x:c>
      <x:c r="L75" s="16" t="str">
        <x:v>Third-party listing says none; confirm in contract</x:v>
      </x:c>
      <x:c r="M75" s="16" t="str">
        <x:v>Catering/bar, decor/flowers, music, transport, photo/HMU, officiant and 59 offsite beds</x:v>
      </x:c>
      <x:c r="N75" s="16" t="str">
        <x:v>high on capacity; medium on price inclusions</x:v>
      </x:c>
    </x:row>
  </x:sheetData>
  <x:mergeCells>
    <x:mergeCell ref="A1:N2"/>
    <x:mergeCell ref="A3:N3"/>
  </x:mergeCells>
  <x:conditionalFormatting sqref="A5:N75">
    <x:cfRule type="expression" dxfId="10" priority="1">
      <x:formula>MOD(ROW(),2)=0</x:formula>
    </x:cfRule>
  </x:conditionalFormatting>
  <x:pageMargins left="0.7" right="0.7" top="0.75" bottom="0.75" header="0.3" footer="0.3"/>
  <x:tableParts count="1">
    <x:tablePart xmlns:r="http://schemas.openxmlformats.org/officeDocument/2006/relationships" r:id="R594fba9a1eb34e1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22" hidden="0" customWidth="1"/>
    <x:col min="3" max="3" width="62" hidden="0" customWidth="1"/>
    <x:col min="4" max="4" width="56" hidden="0" customWidth="1"/>
    <x:col min="5" max="5" width="56" hidden="0" customWidth="1"/>
    <x:col min="6" max="6" width="16" hidden="0" customWidth="1"/>
    <x:col min="7" max="7" width="20" hidden="0" customWidth="1"/>
    <x:col min="8" max="8" width="60" hidden="0" customWidth="1"/>
  </x:cols>
  <x:sheetData>
    <x:row r="1" ht="34" customHeight="1">
      <x:c r="A1" s="3" t="str">
        <x:v>Source log and quote gaps</x:v>
      </x:c>
      <x:c r="B1" s="3" t="str">
        <x:v>Source log and quote gaps</x:v>
      </x:c>
      <x:c r="C1" s="3" t="str">
        <x:v>Source log and quote gaps</x:v>
      </x:c>
      <x:c r="D1" s="3" t="str">
        <x:v>Source log and quote gaps</x:v>
      </x:c>
      <x:c r="E1" s="3" t="str">
        <x:v>Source log and quote gaps</x:v>
      </x:c>
      <x:c r="F1" s="3" t="str">
        <x:v>Source log and quote gaps</x:v>
      </x:c>
      <x:c r="G1" s="3" t="str">
        <x:v>Source log and quote gaps</x:v>
      </x:c>
      <x:c r="H1" s="3" t="str">
        <x:v>Source log and quote gaps</x:v>
      </x:c>
    </x:row>
    <x:row r="2" ht="34" customHeight="1">
      <x:c r="A2" s="3" t="str">
        <x:v>Source log and quote gaps</x:v>
      </x:c>
      <x:c r="B2" s="3" t="str">
        <x:v>Source log and quote gaps</x:v>
      </x:c>
      <x:c r="C2" s="3" t="str">
        <x:v>Source log and quote gaps</x:v>
      </x:c>
      <x:c r="D2" s="3" t="str">
        <x:v>Source log and quote gaps</x:v>
      </x:c>
      <x:c r="E2" s="3" t="str">
        <x:v>Source log and quote gaps</x:v>
      </x:c>
      <x:c r="F2" s="3" t="str">
        <x:v>Source log and quote gaps</x:v>
      </x:c>
      <x:c r="G2" s="3" t="str">
        <x:v>Source log and quote gaps</x:v>
      </x:c>
      <x:c r="H2" s="3" t="str">
        <x:v>Source log and quote gaps</x:v>
      </x:c>
    </x:row>
    <x:row r="3" ht="30" customHeight="1">
      <x:c r="A3" s="7" t="str">
        <x:v>Evidence checked 2026-08-04. Official sources are preferred; marketplace/independent rates are labeled in the anchor or confidence notes.</x:v>
      </x:c>
      <x:c r="B3" s="7" t="str">
        <x:v>Evidence checked 2026-08-04. Official sources are preferred; marketplace/independent rates are labeled in the anchor or confidence notes.</x:v>
      </x:c>
      <x:c r="C3" s="7" t="str">
        <x:v>Evidence checked 2026-08-04. Official sources are preferred; marketplace/independent rates are labeled in the anchor or confidence notes.</x:v>
      </x:c>
      <x:c r="D3" s="7" t="str">
        <x:v>Evidence checked 2026-08-04. Official sources are preferred; marketplace/independent rates are labeled in the anchor or confidence notes.</x:v>
      </x:c>
      <x:c r="E3" s="7" t="str">
        <x:v>Evidence checked 2026-08-04. Official sources are preferred; marketplace/independent rates are labeled in the anchor or confidence notes.</x:v>
      </x:c>
      <x:c r="F3" s="7" t="str">
        <x:v>Evidence checked 2026-08-04. Official sources are preferred; marketplace/independent rates are labeled in the anchor or confidence notes.</x:v>
      </x:c>
      <x:c r="G3" s="7" t="str">
        <x:v>Evidence checked 2026-08-04. Official sources are preferred; marketplace/independent rates are labeled in the anchor or confidence notes.</x:v>
      </x:c>
      <x:c r="H3" s="7" t="str">
        <x:v>Evidence checked 2026-08-04. Official sources are preferred; marketplace/independent rates are labeled in the anchor or confidence notes.</x:v>
      </x:c>
    </x:row>
    <x:row r="4" ht="34" customHeight="1">
      <x:c r="A4" s="12" t="str">
        <x:v>Venue</x:v>
      </x:c>
      <x:c r="B4" s="12" t="str">
        <x:v>Tier</x:v>
      </x:c>
      <x:c r="C4" s="12" t="str">
        <x:v>Price / package anchor</x:v>
      </x:c>
      <x:c r="D4" s="12" t="str">
        <x:v>Primary source</x:v>
      </x:c>
      <x:c r="E4" s="12" t="str">
        <x:v>Secondary source</x:v>
      </x:c>
      <x:c r="F4" s="12" t="str">
        <x:v>Evidence checked</x:v>
      </x:c>
      <x:c r="G4" s="12" t="str">
        <x:v>Reliability</x:v>
      </x:c>
      <x:c r="H4" s="12" t="str">
        <x:v>Most important unresolved point</x:v>
      </x:c>
    </x:row>
    <x:row r="5">
      <x:c r="A5" s="16" t="str">
        <x:v>Borgo Divino</x:v>
      </x:c>
      <x:c r="B5" s="16" t="str">
        <x:v>A — first-call shortlist</x:v>
      </x:c>
      <x:c r="C5" s="16" t="str">
        <x:v>Current directory lists wedding menu from EUR 90 per person; exclusive-stay pricing not public</x:v>
      </x:c>
      <x:c r="D5" s="16" t="str">
        <x:v>https://borgodivino.bio/</x:v>
      </x:c>
      <x:c r="E5" s="16" t="str">
        <x:v>https://www.matrimonio.com/agriturismo-ricevimenti/borgo-divino--e160389</x:v>
      </x:c>
      <x:c r="F5" s="16" t="str">
        <x:v>2026-08-04</x:v>
      </x:c>
      <x:c r="G5" s="16" t="str">
        <x:v>low-medium</x:v>
      </x:c>
      <x:c r="H5" s="16" t="str">
        <x:v>Request a single itemized 2027/28 worksheet for buyout, lodging and all three hosted events.</x:v>
      </x:c>
    </x:row>
    <x:row r="6">
      <x:c r="A6" s="16" t="str">
        <x:v>Castello di Petrata</x:v>
      </x:c>
      <x:c r="B6" s="16" t="str">
        <x:v>A — first-call shortlist</x:v>
      </x:c>
      <x:c r="C6" s="16" t="str">
        <x:v>Official low-season (May 1-13) 2027 two-night Fri-Sun 100-person wedding package EUR 54,300 plus all 20 glamping tents EUR 3,200</x:v>
      </x:c>
      <x:c r="D6" s="16" t="str">
        <x:v>https://castellopetrata.it/doc/BROCHURE-WP-EN-2027.pdf</x:v>
      </x:c>
      <x:c r="E6" s="16" t="str">
        <x:v>https://www.weddings.castellopetrata.com/faq</x:v>
      </x:c>
      <x:c r="F6" s="16" t="str">
        <x:v>2026-08-04</x:v>
      </x:c>
      <x:c r="G6" s="16" t="str">
        <x:v>high on venue/package; medium on external-vendor allowance</x:v>
      </x:c>
      <x:c r="H6" s="16" t="str">
        <x:v>Request a single itemized 2027/28 worksheet for buyout, lodging and all three hosted events.</x:v>
      </x:c>
    </x:row>
    <x:row r="7">
      <x:c r="A7" s="16" t="str">
        <x:v>Diacceroni Weddings</x:v>
      </x:c>
      <x:c r="B7" s="16" t="str">
        <x:v>A — first-call shortlist</x:v>
      </x:c>
      <x:c r="C7" s="16" t="str">
        <x:v>No public wedding package price; official 2027 lodging tariff ranges from about EUR 95-145/night for B&amp;B rooms and EUR 74-311/night for apartments, plus cleaning/AC where applicable</x:v>
      </x:c>
      <x:c r="D7" s="16" t="str">
        <x:v>https://www.diacceroniweddings.com/</x:v>
      </x:c>
      <x:c r="E7" s="16" t="str">
        <x:v>https://www.diacceroni.com/en/pricing/</x:v>
      </x:c>
      <x:c r="F7" s="16" t="str">
        <x:v>2026-08-04</x:v>
      </x:c>
      <x:c r="G7" s="16" t="str">
        <x:v>low</x:v>
      </x:c>
      <x:c r="H7" s="16" t="str">
        <x:v>Request a single itemized 2027/28 worksheet for buyout, lodging and all three hosted events.</x:v>
      </x:c>
    </x:row>
    <x:row r="8">
      <x:c r="A8" s="16" t="str">
        <x:v>Finca Santa Fe</x:v>
      </x:c>
      <x:c r="B8" s="16" t="str">
        <x:v>A — first-call shortlist</x:v>
      </x:c>
      <x:c r="C8" s="16" t="str">
        <x:v>Official three-day package €20,350 for 100, including three nights for 12</x:v>
      </x:c>
      <x:c r="D8" s="16" t="str">
        <x:v>https://fincasantafe.es/wedding-packages/</x:v>
      </x:c>
      <x:c r="E8" s="16" t="str">
        <x:v>https://fincasantafe.es/</x:v>
      </x:c>
      <x:c r="F8" s="16" t="str">
        <x:v>2026-08-04</x:v>
      </x:c>
      <x:c r="G8" s="16" t="str">
        <x:v>High on official package; medium on total</x:v>
      </x:c>
      <x:c r="H8" s="16" t="str">
        <x:v>Request a single itemized 2027/28 worksheet for buyout, lodging and all three hosted events.</x:v>
      </x:c>
    </x:row>
    <x:row r="9">
      <x:c r="A9" s="16" t="str">
        <x:v>La Pousterle de Sabran</x:v>
      </x:c>
      <x:c r="B9" s="16" t="str">
        <x:v>A — first-call shortlist</x:v>
      </x:c>
      <x:c r="C9" s="16" t="str">
        <x:v>2026-2027 weekend rate EUR 10,450 TTC for 100 people, including 100 beds</x:v>
      </x:c>
      <x:c r="D9" s="16" t="str">
        <x:v>https://provence-pousterle.com/mariages</x:v>
      </x:c>
      <x:c r="E9" s="16" t="str">
        <x:v>https://provence-pousterle.com</x:v>
      </x:c>
      <x:c r="F9" s="16" t="str">
        <x:v>2026-08-04</x:v>
      </x:c>
      <x:c r="G9" s="16" t="str">
        <x:v>High for venue/lodging price; medium for total</x:v>
      </x:c>
      <x:c r="H9" s="16" t="str">
        <x:v>Confirm signed capacity and rain-plan seating for the modeled guest count.</x:v>
      </x:c>
    </x:row>
    <x:row r="10">
      <x:c r="A10" s="16" t="str">
        <x:v>Quinta d'Anta Hotel Rural</x:v>
      </x:c>
      <x:c r="B10" s="16" t="str">
        <x:v>A — first-call shortlist</x:v>
      </x:c>
      <x:c r="C10" s="16" t="str">
        <x:v>Current listing updated in 2026 shows menus from EUR 80 per person</x:v>
      </x:c>
      <x:c r="D10" s="16" t="str">
        <x:v>https://quintadanta.pt/wp-content/uploads/Wedding-Packages_online.pdf</x:v>
      </x:c>
      <x:c r="E10" s="16" t="str">
        <x:v>https://www.casamentos.pt/quintas-para-casamentos/quinta-d-anta-hotel-rural--e152775</x:v>
      </x:c>
      <x:c r="F10" s="16" t="str">
        <x:v>2026-08-04</x:v>
      </x:c>
      <x:c r="G10" s="16" t="str">
        <x:v>Medium</x:v>
      </x:c>
      <x:c r="H10" s="16" t="str">
        <x:v>Request a single itemized 2027/28 worksheet for buyout, lodging and all three hosted events.</x:v>
      </x:c>
    </x:row>
    <x:row r="11">
      <x:c r="A11" s="16" t="str">
        <x:v>Quinta da Bichinha / Quinta de São Gonçalo</x:v>
      </x:c>
      <x:c r="B11" s="16" t="str">
        <x:v>A — first-call shortlist</x:v>
      </x:c>
      <x:c r="C11" s="16" t="str">
        <x:v>Indexed 2027 high-season weekend package €30,990 for 50 wedding/sleeping guests; extra wedding guests €129 each, VAT included; modeled 100-person anchor €37,440</x:v>
      </x:c>
      <x:c r="D11" s="16" t="str">
        <x:v>https://www.quintasgoncalo.com/</x:v>
      </x:c>
      <x:c r="E11" s="16" t="str">
        <x:v>https://www.quintasgoncalo.com/en/the-estate</x:v>
      </x:c>
      <x:c r="F11" s="16" t="str">
        <x:v>2026-08-04</x:v>
      </x:c>
      <x:c r="G11" s="16" t="str">
        <x:v>Medium-high on package price; medium on total</x:v>
      </x:c>
      <x:c r="H11" s="16" t="str">
        <x:v>Request a single itemized 2027/28 worksheet for buyout, lodging and all three hosted events.</x:v>
      </x:c>
    </x:row>
    <x:row r="12">
      <x:c r="A12" s="16" t="str">
        <x:v>SPAO Borgo San Pietro Aquaeortus</x:v>
      </x:c>
      <x:c r="B12" s="16" t="str">
        <x:v>A — first-call shortlist</x:v>
      </x:c>
      <x:c r="C12" s="16" t="str">
        <x:v>Official three-night package starts at €58,000 for 75; modeled 100-person core allowance €72,000 pending quote</x:v>
      </x:c>
      <x:c r="D12" s="16" t="str">
        <x:v>https://www.spao.it/three-day-wedding-in-umbria-the-complete-guide-to-spao-borgo-san-pietro/</x:v>
      </x:c>
      <x:c r="E12" s="16" t="str">
        <x:v>https://www.spao.it/wedding-venue-umbria-spao-borgo-san-pietro-aquaeortus/</x:v>
      </x:c>
      <x:c r="F12" s="16" t="str">
        <x:v>2026-08-04</x:v>
      </x:c>
      <x:c r="G12" s="16" t="str">
        <x:v>Medium-high on scope; medium on 100-person price</x:v>
      </x:c>
      <x:c r="H12" s="16" t="str">
        <x:v>Request a single itemized 2027/28 worksheet for buyout, lodging and all three hosted events.</x:v>
      </x:c>
    </x:row>
    <x:row r="13">
      <x:c r="A13" s="16" t="str">
        <x:v>Bear Brook Valley</x:v>
      </x:c>
      <x:c r="B13" s="16" t="str">
        <x:v>B — worth a quote</x:v>
      </x:c>
      <x:c r="C13" s="16" t="str">
        <x:v>Peak USD 290-350 pp; peak full wedding starts USD 41,300</x:v>
      </x:c>
      <x:c r="D13" s="16" t="str">
        <x:v>https://www.bearbrookvalley.com/services</x:v>
      </x:c>
      <x:c r="E13" s="16" t="str">
        <x:v>https://www.zola.com/wedding-vendors/wedding-venues/bear-brook-valley</x:v>
      </x:c>
      <x:c r="F13" s="16" t="str">
        <x:v>2026-08-04</x:v>
      </x:c>
      <x:c r="G13" s="16" t="str">
        <x:v>High</x:v>
      </x:c>
      <x:c r="H13" s="16" t="str">
        <x:v>Request a single itemized 2027/28 worksheet for buyout, lodging and all three hosted events.</x:v>
      </x:c>
    </x:row>
    <x:row r="14">
      <x:c r="A14" s="16" t="str">
        <x:v>Blooming Hill Farm</x:v>
      </x:c>
      <x:c r="B14" s="16" t="str">
        <x:v>B — worth a quote</x:v>
      </x:c>
      <x:c r="C14" s="16" t="str">
        <x:v>Sat site USD 12,500; food USD 155-190 pp; five-hour bar USD 55-90; 23% admin + 8.125% tax</x:v>
      </x:c>
      <x:c r="D14" s="16" t="str">
        <x:v>https://www.bloominghill.farm/weddings</x:v>
      </x:c>
      <x:c r="E14" s="16" t="str"/>
      <x:c r="F14" s="16" t="str">
        <x:v>2026-08-04</x:v>
      </x:c>
      <x:c r="G14" s="16" t="str">
        <x:v>High</x:v>
      </x:c>
      <x:c r="H14" s="16" t="str">
        <x:v>Request a fully loaded quote with VAT/tax, admin, service, staffing and gratuity separated.</x:v>
      </x:c>
    </x:row>
    <x:row r="15">
      <x:c r="A15" s="16" t="str">
        <x:v>Brotherhood Winery</x:v>
      </x:c>
      <x:c r="B15" s="16" t="str">
        <x:v>B — worth a quote</x:v>
      </x:c>
      <x:c r="C15" s="16" t="str">
        <x:v>Quote-only</x:v>
      </x:c>
      <x:c r="D15" s="16" t="str">
        <x:v>https://brotherhood-winery.com/grand-salon/</x:v>
      </x:c>
      <x:c r="E15" s="16" t="str">
        <x:v>https://brotherhood-winery.com/</x:v>
      </x:c>
      <x:c r="F15" s="16" t="str">
        <x:v>2026-08-04</x:v>
      </x:c>
      <x:c r="G15" s="16" t="str">
        <x:v>Very low</x:v>
      </x:c>
      <x:c r="H15" s="16" t="str">
        <x:v>Confirm signed capacity and rain-plan seating for the modeled guest count.</x:v>
      </x:c>
    </x:row>
    <x:row r="16">
      <x:c r="A16" s="16" t="str">
        <x:v>Camp Puh'tok</x:v>
      </x:c>
      <x:c r="B16" s="16" t="str">
        <x:v>B — worth a quote</x:v>
      </x:c>
      <x:c r="C16" s="16" t="str">
        <x:v>2027 weekend USD 11,000</x:v>
      </x:c>
      <x:c r="D16" s="16" t="str">
        <x:v>https://www.camppuhtok.com/weddings</x:v>
      </x:c>
      <x:c r="E16" s="16" t="str">
        <x:v>https://www.herecomestheguide.com/wedding-venues/maryland/camp-puhtok</x:v>
      </x:c>
      <x:c r="F16" s="16" t="str">
        <x:v>2026-08-04</x:v>
      </x:c>
      <x:c r="G16" s="16" t="str">
        <x:v>High for rental; medium total</x:v>
      </x:c>
      <x:c r="H16" s="16" t="str">
        <x:v>Get contractual amplified-music cutoff and afterparty location/hours.</x:v>
      </x:c>
    </x:row>
    <x:row r="17">
      <x:c r="A17" s="16" t="str">
        <x:v>Chateau Sentout</x:v>
      </x:c>
      <x:c r="B17" s="16" t="str">
        <x:v>B — worth a quote</x:v>
      </x:c>
      <x:c r="C17" s="16" t="str">
        <x:v>2027 EUR 10,700-EUR 13,700; 2028 EUR 10,500-EUR 14,100 for three nights</x:v>
      </x:c>
      <x:c r="D17" s="16" t="str">
        <x:v>https://www.chateausentout.com/en/prices/</x:v>
      </x:c>
      <x:c r="E17" s="16" t="str">
        <x:v>https://www.chateausentout.com/en/weddings/</x:v>
      </x:c>
      <x:c r="F17" s="16" t="str">
        <x:v>2026-08-04</x:v>
      </x:c>
      <x:c r="G17" s="16" t="str">
        <x:v>High for venue price; medium for total</x:v>
      </x:c>
      <x:c r="H17" s="16" t="str">
        <x:v>Get contractual amplified-music cutoff and afterparty location/hours.</x:v>
      </x:c>
    </x:row>
    <x:row r="18">
      <x:c r="A18" s="16" t="str">
        <x:v>Crossed Keys Estate</x:v>
      </x:c>
      <x:c r="B18" s="16" t="str">
        <x:v>B — worth a quote</x:v>
      </x:c>
      <x:c r="C18" s="16" t="str">
        <x:v>Peak full wedding starts USD 34,000; menu starts USD 288 pp</x:v>
      </x:c>
      <x:c r="D18" s="16" t="str">
        <x:v>https://crossedkeys.com/faq</x:v>
      </x:c>
      <x:c r="E18" s="16" t="str">
        <x:v>https://www.zola.com/wedding-vendors/wedding-venues/crossed-keys-estate</x:v>
      </x:c>
      <x:c r="F18" s="16" t="str">
        <x:v>2026-08-04</x:v>
      </x:c>
      <x:c r="G18" s="16" t="str">
        <x:v>High</x:v>
      </x:c>
      <x:c r="H18" s="16" t="str">
        <x:v>Request a single itemized 2027/28 worksheet for buyout, lodging and all three hosted events.</x:v>
      </x:c>
    </x:row>
    <x:row r="19">
      <x:c r="A19" s="16" t="str">
        <x:v>Frost Valley YMCA</x:v>
      </x:c>
      <x:c r="B19" s="16" t="str">
        <x:v>B — worth a quote</x:v>
      </x:c>
      <x:c r="C19" s="16" t="str">
        <x:v>Main 20-150 package USD 23,500-40,000; official venue-only statement starts USD 4,000</x:v>
      </x:c>
      <x:c r="D19" s="16" t="str">
        <x:v>https://frostvalley.org/weddings/</x:v>
      </x:c>
      <x:c r="E19" s="16" t="str">
        <x:v>https://www.zola.com/wedding-vendors/wedding-venues/frost-valley-ymca</x:v>
      </x:c>
      <x:c r="F19" s="16" t="str">
        <x:v>2026-08-04</x:v>
      </x:c>
      <x:c r="G19" s="16" t="str">
        <x:v>Low-medium</x:v>
      </x:c>
      <x:c r="H19" s="16" t="str">
        <x:v>Get contractual amplified-music cutoff and afterparty location/hours.</x:v>
      </x:c>
    </x:row>
    <x:row r="20">
      <x:c r="A20" s="16" t="str">
        <x:v>Harbor Camps</x:v>
      </x:c>
      <x:c r="B20" s="16" t="str">
        <x:v>B — worth a quote</x:v>
      </x:c>
      <x:c r="C20" s="16" t="str">
        <x:v>2027 exclusive weekend USD 9,500</x:v>
      </x:c>
      <x:c r="D20" s="16" t="str">
        <x:v>https://harborcamps.org/site-rentals/weddings/</x:v>
      </x:c>
      <x:c r="E20" s="16" t="str"/>
      <x:c r="F20" s="16" t="str">
        <x:v>2026-08-04</x:v>
      </x:c>
      <x:c r="G20" s="16" t="str">
        <x:v>High for rental; medium total</x:v>
      </x:c>
      <x:c r="H20" s="16" t="str">
        <x:v>Get contractual amplified-music cutoff and afterparty location/hours.</x:v>
      </x:c>
    </x:row>
    <x:row r="21">
      <x:c r="A21" s="16" t="str">
        <x:v>Hopewell Valley Vineyards</x:v>
      </x:c>
      <x:c r="B21" s="16" t="str">
        <x:v>B — worth a quote</x:v>
      </x:c>
      <x:c r="C21" s="16" t="str">
        <x:v>No official price; directory starts USD 13,764 for 50</x:v>
      </x:c>
      <x:c r="D21" s="16" t="str">
        <x:v>https://www.hopewellvalleyvineyards.com/host</x:v>
      </x:c>
      <x:c r="E21" s="16" t="str">
        <x:v>https://www.wedding-spot.com/venue/9431/hopewell-valley-vineyards/</x:v>
      </x:c>
      <x:c r="F21" s="16" t="str">
        <x:v>2026-08-04</x:v>
      </x:c>
      <x:c r="G21" s="16" t="str">
        <x:v>Low</x:v>
      </x:c>
      <x:c r="H21" s="16" t="str">
        <x:v>Request a single itemized 2027/28 worksheet for buyout, lodging and all three hosted events.</x:v>
      </x:c>
    </x:row>
    <x:row r="22">
      <x:c r="A22" s="16" t="str">
        <x:v>Hotel Casa Palmela</x:v>
      </x:c>
      <x:c r="B22" s="16" t="str">
        <x:v>B — worth a quote</x:v>
      </x:c>
      <x:c r="C22" s="16" t="str">
        <x:v>Marques de Monfalim room up to eight hours EUR 2,500 VAT included; Zimbral outside high season has EUR 2,250 deductible food-and-beverage minimum</x:v>
      </x:c>
      <x:c r="D22" s="16" t="str">
        <x:v>https://hotelcasapalmela.pt/en/events-weddings/</x:v>
      </x:c>
      <x:c r="E22" s="16" t="str">
        <x:v>https://hotelcasapalmela.pt/wp-content/uploads/2024/05/ADDITIONAL_INFO_TECH-SPECIFICATIONS.pdf</x:v>
      </x:c>
      <x:c r="F22" s="16" t="str">
        <x:v>2026-08-04</x:v>
      </x:c>
      <x:c r="G22" s="16" t="str">
        <x:v>Medium</x:v>
      </x:c>
      <x:c r="H22" s="16" t="str">
        <x:v>Confirm signed capacity and rain-plan seating for the modeled guest count.</x:v>
      </x:c>
    </x:row>
    <x:row r="23">
      <x:c r="A23" s="16" t="str">
        <x:v>Inn at Fernbrook Farms</x:v>
      </x:c>
      <x:c r="B23" s="16" t="str">
        <x:v>B — worth a quote</x:v>
      </x:c>
      <x:c r="C23" s="16" t="str">
        <x:v>Site USD 10,000-15,000; in-house catering USD 150 pp++</x:v>
      </x:c>
      <x:c r="D23" s="16" t="str">
        <x:v>https://www.fernbrookfarms.com/inn/weddings/</x:v>
      </x:c>
      <x:c r="E23" s="16" t="str">
        <x:v>https://www.fernbrookfarms.com/inn/accommodations/</x:v>
      </x:c>
      <x:c r="F23" s="16" t="str">
        <x:v>2026-08-04</x:v>
      </x:c>
      <x:c r="G23" s="16" t="str">
        <x:v>High</x:v>
      </x:c>
      <x:c r="H23" s="16" t="str">
        <x:v>Request a single itemized 2027/28 worksheet for buyout, lodging and all three hosted events.</x:v>
      </x:c>
    </x:row>
    <x:row r="24">
      <x:c r="A24" s="16" t="str">
        <x:v>Lama di Luna Biomasseria</x:v>
      </x:c>
      <x:c r="B24" s="16" t="str">
        <x:v>B — worth a quote</x:v>
      </x:c>
      <x:c r="C24" s="16" t="str">
        <x:v>2025 high-season exclusive two-night rental EUR 10,700 before 10% VAT; catering approximately EUR 200 per person</x:v>
      </x:c>
      <x:c r="D24" s="16" t="str">
        <x:v>https://plinius-homes.com/en/venue/wedding-under-the-stars</x:v>
      </x:c>
      <x:c r="E24" s="16" t="str">
        <x:v>https://www.lamadiluna.com/it/pagina/servizi</x:v>
      </x:c>
      <x:c r="F24" s="16" t="str">
        <x:v>2026-08-04</x:v>
      </x:c>
      <x:c r="G24" s="16" t="str">
        <x:v>Medium-low</x:v>
      </x:c>
      <x:c r="H24" s="16" t="str">
        <x:v>Get contractual amplified-music cutoff and afterparty location/hours.</x:v>
      </x:c>
    </x:row>
    <x:row r="25">
      <x:c r="A25" s="16" t="str">
        <x:v>Masseria Le Carrube</x:v>
      </x:c>
      <x:c r="B25" s="16" t="str">
        <x:v>B — worth a quote</x:v>
      </x:c>
      <x:c r="C25" s="16" t="str">
        <x:v>Wedding buyout quote-only; public 2026 brunch at EUR 50/person is only an event-cost reference, not a wedding package</x:v>
      </x:c>
      <x:c r="D25" s="16" t="str">
        <x:v>https://www.masserialecarrubeostuni.it/</x:v>
      </x:c>
      <x:c r="E25" s="16" t="str">
        <x:v>https://italianvenues.com/weddings/venues/masseria-le-carrube/</x:v>
      </x:c>
      <x:c r="F25" s="16" t="str">
        <x:v>2026-08-04</x:v>
      </x:c>
      <x:c r="G25" s="16" t="str">
        <x:v>Low-medium</x:v>
      </x:c>
      <x:c r="H25" s="16" t="str">
        <x:v>Request a single itemized 2027/28 worksheet for buyout, lodging and all three hosted events.</x:v>
      </x:c>
    </x:row>
    <x:row r="26">
      <x:c r="A26" s="16" t="str">
        <x:v>Millbrook Vineyards &amp; Winery</x:v>
      </x:c>
      <x:c r="B26" s="16" t="str">
        <x:v>B — worth a quote</x:v>
      </x:c>
      <x:c r="C26" s="16" t="str">
        <x:v>USD 5,000 site; catering/rentals separate</x:v>
      </x:c>
      <x:c r="D26" s="16" t="str">
        <x:v>https://www.millbrookwine.com/wp-content/uploads/2025/05/Weddings-at-Millbrook-2-compressed.pdf</x:v>
      </x:c>
      <x:c r="E26" s="16" t="str">
        <x:v>https://www.millbrookwine.com/</x:v>
      </x:c>
      <x:c r="F26" s="16" t="str">
        <x:v>2026-08-04</x:v>
      </x:c>
      <x:c r="G26" s="16" t="str">
        <x:v>High</x:v>
      </x:c>
      <x:c r="H26" s="16" t="str">
        <x:v>Get contractual amplified-music cutoff and afterparty location/hours.</x:v>
      </x:c>
    </x:row>
    <x:row r="27">
      <x:c r="A27" s="16" t="str">
        <x:v>Montfair Resort Farm</x:v>
      </x:c>
      <x:c r="B27" s="16" t="str">
        <x:v>B — worth a quote</x:v>
      </x:c>
      <x:c r="C27" s="16" t="str">
        <x:v>2026 full weekend for 121-160: USD 13,040 + 5.3% VA tax</x:v>
      </x:c>
      <x:c r="D27" s="16" t="str">
        <x:v>https://montfairresortfarm.com/faqs/</x:v>
      </x:c>
      <x:c r="E27" s="16" t="str">
        <x:v>https://montfairresortfarm.com/wp-content/uploads/2024/12/2026-WEDDING-RATES.pdf</x:v>
      </x:c>
      <x:c r="F27" s="16" t="str">
        <x:v>2026-08-04</x:v>
      </x:c>
      <x:c r="G27" s="16" t="str">
        <x:v>High</x:v>
      </x:c>
      <x:c r="H27" s="16" t="str">
        <x:v>Request a single itemized 2027/28 worksheet for buyout, lodging and all three hosted events.</x:v>
      </x:c>
    </x:row>
    <x:row r="28">
      <x:c r="A28" s="16" t="str">
        <x:v>Orchard &amp; Star</x:v>
      </x:c>
      <x:c r="B28" s="16" t="str">
        <x:v>B — worth a quote</x:v>
      </x:c>
      <x:c r="C28" s="16" t="str">
        <x:v>2026/27 150-person core: $21,600 without planner or $26,600 with planner; catering, tent/dancefloor and transport extra</x:v>
      </x:c>
      <x:c r="D28" s="16" t="str">
        <x:v>https://orchardandstar.com/pricing</x:v>
      </x:c>
      <x:c r="E28" s="16" t="str">
        <x:v>https://orchardandstar.com/</x:v>
      </x:c>
      <x:c r="F28" s="16" t="str">
        <x:v>2026-08-04</x:v>
      </x:c>
      <x:c r="G28" s="16" t="str">
        <x:v>Medium on core; low-medium on total</x:v>
      </x:c>
      <x:c r="H28" s="16" t="str">
        <x:v>Request a single itemized 2027/28 worksheet for buyout, lodging and all three hosted events.</x:v>
      </x:c>
    </x:row>
    <x:row r="29">
      <x:c r="A29" s="16" t="str">
        <x:v>Perona Farms</x:v>
      </x:c>
      <x:c r="B29" s="16" t="str">
        <x:v>B — worth a quote</x:v>
      </x:c>
      <x:c r="C29" s="16" t="str">
        <x:v>Starts USD 165 pp; current analysis USD 165-305 before 23% service + 6.625% tax; ceremony about USD 1,800</x:v>
      </x:c>
      <x:c r="D29" s="16" t="str">
        <x:v>https://www.peronafarms.com/</x:v>
      </x:c>
      <x:c r="E29" s="16" t="str">
        <x:v>https://www.thepricer.org/perona-farms-wedding-cost/</x:v>
      </x:c>
      <x:c r="F29" s="16" t="str">
        <x:v>2026-08-04</x:v>
      </x:c>
      <x:c r="G29" s="16" t="str">
        <x:v>Medium</x:v>
      </x:c>
      <x:c r="H29" s="16" t="str">
        <x:v>Get contractual amplified-music cutoff and afterparty location/hours.</x:v>
      </x:c>
    </x:row>
    <x:row r="30">
      <x:c r="A30" s="16" t="str">
        <x:v>Quata Tuscany Country House</x:v>
      </x:c>
      <x:c r="B30" s="16" t="str">
        <x:v>B — worth a quote</x:v>
      </x:c>
      <x:c r="C30" s="16" t="str">
        <x:v>Current directory lists hire from EUR 1,000 and up to 150 guests</x:v>
      </x:c>
      <x:c r="D30" s="16" t="str">
        <x:v>https://www.agriturismoquata.it/wedding</x:v>
      </x:c>
      <x:c r="E30" s="16" t="str">
        <x:v>https://www.matrimonio.com/agriturismo-ricevimenti/quata-tuscany-country-house--e153964</x:v>
      </x:c>
      <x:c r="F30" s="16" t="str">
        <x:v>2026-08-04</x:v>
      </x:c>
      <x:c r="G30" s="16" t="str">
        <x:v>low</x:v>
      </x:c>
      <x:c r="H30" s="16" t="str">
        <x:v>Request a fully loaded quote with VAT/tax, admin, service, staffing and gratuity separated.</x:v>
      </x:c>
    </x:row>
    <x:row r="31">
      <x:c r="A31" s="16" t="str">
        <x:v>Relais Sant'Agostino</x:v>
      </x:c>
      <x:c r="B31" s="16" t="str">
        <x:v>B — worth a quote</x:v>
      </x:c>
      <x:c r="C31" s="16" t="str">
        <x:v>Quote-only; current listing confirms capacity and service categories but no menu price</x:v>
      </x:c>
      <x:c r="D31" s="16" t="str">
        <x:v>https://relaissantagostino.it/sala-ricevimenti-andria/</x:v>
      </x:c>
      <x:c r="E31" s="16" t="str">
        <x:v>https://www.matrimonio.com/sala-ricevimenti/relais-santagostino--e208836</x:v>
      </x:c>
      <x:c r="F31" s="16" t="str">
        <x:v>2026-08-04</x:v>
      </x:c>
      <x:c r="G31" s="16" t="str">
        <x:v>Low</x:v>
      </x:c>
      <x:c r="H31" s="16" t="str">
        <x:v>Request a single itemized 2027/28 worksheet for buyout, lodging and all three hosted events.</x:v>
      </x:c>
    </x:row>
    <x:row r="32">
      <x:c r="A32" s="16" t="str">
        <x:v>Tenuta Capotenda</x:v>
      </x:c>
      <x:c r="B32" s="16" t="str">
        <x:v>B — worth a quote</x:v>
      </x:c>
      <x:c r="C32" s="16" t="str">
        <x:v>No current wedding package or price published; official website is a placeholder</x:v>
      </x:c>
      <x:c r="D32" s="16" t="str">
        <x:v>https://www.tenutacapotenda.it</x:v>
      </x:c>
      <x:c r="E32" s="16" t="str">
        <x:v>https://www.tripadvisor.it/Restaurant_Review-g1077046-d25214463-Reviews-Tenuta_Capotenda-Gravina_in_Puglia_Province_of_Bari_Puglia.html</x:v>
      </x:c>
      <x:c r="F32" s="16" t="str">
        <x:v>2026-08-04</x:v>
      </x:c>
      <x:c r="G32" s="16" t="str">
        <x:v>Very low</x:v>
      </x:c>
      <x:c r="H32" s="16" t="str">
        <x:v>Get contractual amplified-music cutoff and afterparty location/hours.</x:v>
      </x:c>
    </x:row>
    <x:row r="33">
      <x:c r="A33" s="16" t="str">
        <x:v>Tenuta di Rota</x:v>
      </x:c>
      <x:c r="B33" s="16" t="str">
        <x:v>B — worth a quote</x:v>
      </x:c>
      <x:c r="C33" s="16" t="str">
        <x:v>2026 three-night Palagio anchor EUR 14,600 for 16, including breakfast, daily cleaning, wedding-day shuttle and planner; other lodging, catering and marquee extra</x:v>
      </x:c>
      <x:c r="D33" s="16" t="str">
        <x:v>https://www.tenutadirota.it/en/</x:v>
      </x:c>
      <x:c r="E33" s="16" t="str">
        <x:v>https://italianvenues.com/weddings/venues/tenuta-di-rota/</x:v>
      </x:c>
      <x:c r="F33" s="16" t="str">
        <x:v>2026-08-04</x:v>
      </x:c>
      <x:c r="G33" s="16" t="str">
        <x:v>Medium; capacity and stay-length conflicts</x:v>
      </x:c>
      <x:c r="H33" s="16" t="str">
        <x:v>Request a single itemized 2027/28 worksheet for buyout, lodging and all three hosted events.</x:v>
      </x:c>
    </x:row>
    <x:row r="34">
      <x:c r="A34" s="16" t="str">
        <x:v>Tenute Maci</x:v>
      </x:c>
      <x:c r="B34" s="16" t="str">
        <x:v>B — worth a quote</x:v>
      </x:c>
      <x:c r="C34" s="16" t="str">
        <x:v>Wedding menus EUR 80-EUR 100 per person</x:v>
      </x:c>
      <x:c r="D34" s="16" t="str">
        <x:v>https://www.tenutemaci.it</x:v>
      </x:c>
      <x:c r="E34" s="16" t="str">
        <x:v>https://www.matrimonio.com/sala-ricevimenti/tenute-maci--e253065</x:v>
      </x:c>
      <x:c r="F34" s="16" t="str">
        <x:v>2026-08-04</x:v>
      </x:c>
      <x:c r="G34" s="16" t="str">
        <x:v>Low-medium</x:v>
      </x:c>
      <x:c r="H34" s="16" t="str">
        <x:v>Request a single itemized 2027/28 worksheet for buyout, lodging and all three hosted events.</x:v>
      </x:c>
    </x:row>
    <x:row r="35">
      <x:c r="A35" s="16" t="str">
        <x:v>The Arnold House</x:v>
      </x:c>
      <x:c r="B35" s="16" t="str">
        <x:v>B — worth a quote</x:v>
      </x:c>
      <x:c r="C35" s="16" t="str">
        <x:v>2027 summer/fall site USD 18,000+; F&amp;B min USD 40,000+; reception USD 170 pp incl 3-hour bar</x:v>
      </x:c>
      <x:c r="D35" s="16" t="str">
        <x:v>https://www.thearnoldhouse.com/weddings</x:v>
      </x:c>
      <x:c r="E35" s="16" t="str">
        <x:v>https://www.thearnoldhouse.com/private-events</x:v>
      </x:c>
      <x:c r="F35" s="16" t="str">
        <x:v>2026-08-04</x:v>
      </x:c>
      <x:c r="G35" s="16" t="str">
        <x:v>High base; medium total</x:v>
      </x:c>
      <x:c r="H35" s="16" t="str">
        <x:v>Get contractual amplified-music cutoff and afterparty location/hours.</x:v>
      </x:c>
    </x:row>
    <x:row r="36">
      <x:c r="A36" s="16" t="str">
        <x:v>The Mansion at Oyster Bay</x:v>
      </x:c>
      <x:c r="B36" s="16" t="str">
        <x:v>B — worth a quote</x:v>
      </x:c>
      <x:c r="C36" s="16" t="str">
        <x:v>Quote-only; Knot average estimate USD 26,493, not a 150-person quote</x:v>
      </x:c>
      <x:c r="D36" s="16" t="str">
        <x:v>https://mobile.lessings.com/corporate/weddings/menu/the-mansion-at-oyster-bay-wedding-menu-menu/47/2165</x:v>
      </x:c>
      <x:c r="E36" s="16" t="str">
        <x:v>https://www.theknot.com/marketplace/the-mansion-at-oyster-bay-woodbury-ny-957265</x:v>
      </x:c>
      <x:c r="F36" s="16" t="str">
        <x:v>2026-08-04</x:v>
      </x:c>
      <x:c r="G36" s="16" t="str">
        <x:v>Medium</x:v>
      </x:c>
      <x:c r="H36" s="16" t="str">
        <x:v>Get contractual amplified-music cutoff and afterparty location/hours.</x:v>
      </x:c>
    </x:row>
    <x:row r="37">
      <x:c r="A37" s="16" t="str">
        <x:v>Unionville Vineyards</x:v>
      </x:c>
      <x:c r="B37" s="16" t="str">
        <x:v>B — worth a quote</x:v>
      </x:c>
      <x:c r="C37" s="16" t="str">
        <x:v>Quote-only; one case Unionville wine per 30 adults</x:v>
      </x:c>
      <x:c r="D37" s="16" t="str">
        <x:v>https://unionvillevineyards.com/pages/private-events</x:v>
      </x:c>
      <x:c r="E37" s="16" t="str">
        <x:v>https://unionvillevineyards.com/pages/frequently-asked-questions</x:v>
      </x:c>
      <x:c r="F37" s="16" t="str">
        <x:v>2026-08-04</x:v>
      </x:c>
      <x:c r="G37" s="16" t="str">
        <x:v>Low</x:v>
      </x:c>
      <x:c r="H37" s="16" t="str">
        <x:v>Get contractual amplified-music cutoff and afterparty location/hours.</x:v>
      </x:c>
    </x:row>
    <x:row r="38">
      <x:c r="A38" s="16" t="str">
        <x:v>Valenzano Winery / Vineyard Estates</x:v>
      </x:c>
      <x:c r="B38" s="16" t="str">
        <x:v>B — worth a quote</x:v>
      </x:c>
      <x:c r="C38" s="16" t="str">
        <x:v>2026/2027 packages quote-only</x:v>
      </x:c>
      <x:c r="D38" s="16" t="str">
        <x:v>https://valenzanowine.com/winery-weddings/</x:v>
      </x:c>
      <x:c r="E38" s="16" t="str">
        <x:v>https://valenzanowine.com/private-parties/</x:v>
      </x:c>
      <x:c r="F38" s="16" t="str">
        <x:v>2026-08-04</x:v>
      </x:c>
      <x:c r="G38" s="16" t="str">
        <x:v>Low</x:v>
      </x:c>
      <x:c r="H38" s="16" t="str">
        <x:v>Get contractual amplified-music cutoff and afterparty location/hours.</x:v>
      </x:c>
    </x:row>
    <x:row r="39">
      <x:c r="A39" s="16" t="str">
        <x:v>Villa Barone Hilltop Manor</x:v>
      </x:c>
      <x:c r="B39" s="16" t="str">
        <x:v>B — worth a quote</x:v>
      </x:c>
      <x:c r="C39" s="16" t="str">
        <x:v>Marketplace starts USD 10,000; no usable 150-person sheet</x:v>
      </x:c>
      <x:c r="D39" s="16" t="str">
        <x:v>https://www.theknot.com/marketplace/the-villa-barone-hilltop-manor-mahopac-ny-234995</x:v>
      </x:c>
      <x:c r="E39" s="16" t="str"/>
      <x:c r="F39" s="16" t="str">
        <x:v>2026-08-04</x:v>
      </x:c>
      <x:c r="G39" s="16" t="str">
        <x:v>Low</x:v>
      </x:c>
      <x:c r="H39" s="16" t="str">
        <x:v>Get contractual amplified-music cutoff and afterparty location/hours.</x:v>
      </x:c>
    </x:row>
    <x:row r="40">
      <x:c r="A40" s="16" t="str">
        <x:v>Villa LeMura</x:v>
      </x:c>
      <x:c r="B40" s="16" t="str">
        <x:v>B — worth a quote</x:v>
      </x:c>
      <x:c r="C40" s="16" t="str">
        <x:v>No public 2027/2028 wedding rate</x:v>
      </x:c>
      <x:c r="D40" s="16" t="str">
        <x:v>https://www.villalemura.com/weddings</x:v>
      </x:c>
      <x:c r="E40" s="16" t="str">
        <x:v>https://www.villalemura.com/property-gardens</x:v>
      </x:c>
      <x:c r="F40" s="16" t="str">
        <x:v>2026-08-04</x:v>
      </x:c>
      <x:c r="G40" s="16" t="str">
        <x:v>low</x:v>
      </x:c>
      <x:c r="H40" s="16" t="str">
        <x:v>Confirm signed capacity and rain-plan seating for the modeled guest count.</x:v>
      </x:c>
    </x:row>
    <x:row r="41">
      <x:c r="A41" s="16" t="str">
        <x:v>Villa Lena Puglia</x:v>
      </x:c>
      <x:c r="B41" s="16" t="str">
        <x:v>B — worth a quote</x:v>
      </x:c>
      <x:c r="C41" s="16" t="str">
        <x:v>Published 2026 rental bands vary roughly EUR 9,700-EUR 22,640 across May-September, but the duration/unit is unclear; obtain the actual minimum-stay quote</x:v>
      </x:c>
      <x:c r="D41" s="16" t="str">
        <x:v>https://italianvenues.com/weddings/venues/villa-lena-puglia/</x:v>
      </x:c>
      <x:c r="E41" s="16" t="str">
        <x:v>https://www.lalista.com/venues/puglia/villa-lena-puglia</x:v>
      </x:c>
      <x:c r="F41" s="16" t="str">
        <x:v>2026-08-04</x:v>
      </x:c>
      <x:c r="G41" s="16" t="str">
        <x:v>Medium on capacity/beds; low on price</x:v>
      </x:c>
      <x:c r="H41" s="16" t="str">
        <x:v>Request a single itemized 2027/28 worksheet for buyout, lodging and all three hosted events.</x:v>
      </x:c>
    </x:row>
    <x:row r="42">
      <x:c r="A42" s="16" t="str">
        <x:v>Villa Mocale</x:v>
      </x:c>
      <x:c r="B42" s="16" t="str">
        <x:v>B — worth a quote</x:v>
      </x:c>
      <x:c r="C42" s="16" t="str">
        <x:v>Current directory lists venue hire from EUR 2,000; updated March 2026</x:v>
      </x:c>
      <x:c r="D42" s="16" t="str">
        <x:v>https://www.mocale.it/en/homepage/</x:v>
      </x:c>
      <x:c r="E42" s="16" t="str">
        <x:v>https://www.matrimonio.com/ville-matrimoni/villa-mocale-by-castello-ricevimenti--e25998</x:v>
      </x:c>
      <x:c r="F42" s="16" t="str">
        <x:v>2026-08-04</x:v>
      </x:c>
      <x:c r="G42" s="16" t="str">
        <x:v>low</x:v>
      </x:c>
      <x:c r="H42" s="16" t="str">
        <x:v>Request a fully loaded quote with VAT/tax, admin, service, staffing and gratuity separated.</x:v>
      </x:c>
    </x:row>
    <x:row r="43">
      <x:c r="A43" s="16" t="str">
        <x:v>Villa Sermolli</x:v>
      </x:c>
      <x:c r="B43" s="16" t="str">
        <x:v>B — worth a quote</x:v>
      </x:c>
      <x:c r="C43" s="16" t="str">
        <x:v>From 2027 high-season two-night exclusive hire EUR 18,000 plus published 100-person wedding menu/drink floors of EUR 10,000 and EUR 7,000</x:v>
      </x:c>
      <x:c r="D43" s="16" t="str">
        <x:v>https://villa-sermolli.com/tuscanwedding/</x:v>
      </x:c>
      <x:c r="E43" s="16" t="str">
        <x:v>https://villa-sermolli.com/restaurant-bar/</x:v>
      </x:c>
      <x:c r="F43" s="16" t="str">
        <x:v>2026-08-04</x:v>
      </x:c>
      <x:c r="G43" s="16" t="str">
        <x:v>medium</x:v>
      </x:c>
      <x:c r="H43" s="16" t="str">
        <x:v>Request a fully loaded quote with VAT/tax, admin, service, staffing and gratuity separated.</x:v>
      </x:c>
    </x:row>
    <x:row r="44">
      <x:c r="A44" s="16" t="str">
        <x:v>Castello di Ristonchi</x:v>
      </x:c>
      <x:c r="B44" s="16" t="str">
        <x:v>C — hold / reconcile quote</x:v>
      </x:c>
      <x:c r="C44" s="16" t="str">
        <x:v>2027 Easy With Everything Premium package for up to 100</x:v>
      </x:c>
      <x:c r="D44" s="16" t="str">
        <x:v>https://www.ristonchi.com/weddings2027</x:v>
      </x:c>
      <x:c r="E44" s="16" t="str">
        <x:v>https://www.ristonchi.com/weddingfaqs</x:v>
      </x:c>
      <x:c r="F44" s="16" t="str">
        <x:v>2026-08-04</x:v>
      </x:c>
      <x:c r="G44" s="16" t="str">
        <x:v>high</x:v>
      </x:c>
      <x:c r="H44" s="16" t="str">
        <x:v>Reconcile the ~$108k user working quote with the official EUR 185,500 Premium price: currency, date, headcount, tax and exact package version.</x:v>
      </x:c>
    </x:row>
    <x:row r="45">
      <x:c r="A45" s="16" t="str">
        <x:v>Blenheim Hill Farm</x:v>
      </x:c>
      <x:c r="B45" s="16" t="str">
        <x:v>C — watch / budget risk</x:v>
      </x:c>
      <x:c r="C45" s="16" t="str">
        <x:v>Promoted site USD 15,500; food USD 96+ pp; five-hour bar USD 48+; ~8% tax; no staffing/service surcharge</x:v>
      </x:c>
      <x:c r="D45" s="16" t="str">
        <x:v>https://www.blenheimhillfarm.com/pricing</x:v>
      </x:c>
      <x:c r="E45" s="16" t="str">
        <x:v>https://www.blenheimhillfarm.com/calculator2</x:v>
      </x:c>
      <x:c r="F45" s="16" t="str">
        <x:v>2026-08-04</x:v>
      </x:c>
      <x:c r="G45" s="16" t="str">
        <x:v>High</x:v>
      </x:c>
      <x:c r="H45" s="16" t="str">
        <x:v>Request a couple-funded quote for every onsite and overflow room, including room taxes, minimum nights, attrition and shuttles; do not use guest-paid pricing as the primary total.</x:v>
      </x:c>
    </x:row>
    <x:row r="46">
      <x:c r="A46" s="16" t="str">
        <x:v>Borgo di Pietrafitta</x:v>
      </x:c>
      <x:c r="B46" s="16" t="str">
        <x:v>C — watch / budget risk</x:v>
      </x:c>
      <x:c r="C46" s="16" t="str">
        <x:v>Official 2027 three-night exclusive-use offer EUR 26,500 VAT included</x:v>
      </x:c>
      <x:c r="D46" s="16" t="str">
        <x:v>https://www.borgopietrafitta.com/assets/uploads/piantine%20e%20brochure/bdp-wedding-2027-eng.pdf</x:v>
      </x:c>
      <x:c r="E46" s="16" t="str">
        <x:v>https://www.lalista.com/venues/tuscany/borgo-pietrafitta</x:v>
      </x:c>
      <x:c r="F46" s="16" t="str">
        <x:v>2026-08-04</x:v>
      </x:c>
      <x:c r="G46" s="16" t="str">
        <x:v>medium on rental; low on total</x:v>
      </x:c>
      <x:c r="H46" s="16" t="str">
        <x:v>Confirm signed capacity and rain-plan seating for the modeled guest count.</x:v>
      </x:c>
    </x:row>
    <x:row r="47">
      <x:c r="A47" s="16" t="str">
        <x:v>Candlelight Farms Inn</x:v>
      </x:c>
      <x:c r="B47" s="16" t="str">
        <x:v>C — watch / budget risk</x:v>
      </x:c>
      <x:c r="C47" s="16" t="str">
        <x:v>User one-day quote: $10,000. Current official Exclusive Farm Wedding Weekend: $20,000 + 15% service; Hangar +$7,500; outside vendors/infrastructure extra</x:v>
      </x:c>
      <x:c r="D47" s="16" t="str">
        <x:v>https://www.candlelightfarmsinn.com/</x:v>
      </x:c>
      <x:c r="E47" s="16" t="str">
        <x:v>https://drive.google.com/file/d/1VZZr5n0b2IbZvDFxQPOK_S2vy3hevpgY/view</x:v>
      </x:c>
      <x:c r="F47" s="16" t="str">
        <x:v>2026-08-04</x:v>
      </x:c>
      <x:c r="G47" s="16" t="str">
        <x:v>Medium-high on rules; medium on total</x:v>
      </x:c>
      <x:c r="H47" s="16" t="str">
        <x:v>Request a single itemized 2027/28 worksheet for buyout, lodging and all three hosted events.</x:v>
      </x:c>
    </x:row>
    <x:row r="48">
      <x:c r="A48" s="16" t="str">
        <x:v>Casa Cornacchi</x:v>
      </x:c>
      <x:c r="B48" s="16" t="str">
        <x:v>C — watch / budget risk</x:v>
      </x:c>
      <x:c r="C48" s="16" t="str">
        <x:v>2027 May-September three-night exclusive rental EUR 34,150; midweek discounts may apply</x:v>
      </x:c>
      <x:c r="D48" s="16" t="str">
        <x:v>https://www.cornacchi.com/</x:v>
      </x:c>
      <x:c r="E48" s="16" t="str">
        <x:v>https://www.lalista.com/venues/tuscany/casa-cornacchi</x:v>
      </x:c>
      <x:c r="F48" s="16" t="str">
        <x:v>2026-08-04</x:v>
      </x:c>
      <x:c r="G48" s="16" t="str">
        <x:v>medium-low</x:v>
      </x:c>
      <x:c r="H48" s="16" t="str">
        <x:v>Request a single itemized 2027/28 worksheet for buyout, lodging and all three hosted events.</x:v>
      </x:c>
    </x:row>
    <x:row r="49">
      <x:c r="A49" s="16" t="str">
        <x:v>Casa Monte Cristo Collection</x:v>
      </x:c>
      <x:c r="B49" s="16" t="str">
        <x:v>C — watch / budget risk</x:v>
      </x:c>
      <x:c r="C49" s="16" t="str">
        <x:v>2027 wedding-day package for 100 is EUR 34,980; all villas for four nights in May, June or September total EUR 32,020</x:v>
      </x:c>
      <x:c r="D49" s="16" t="str">
        <x:v>https://marrytheworld.com/wp-content/uploads/2026/02/Casa-Monte-Cristo-Weddings-2027.pdf</x:v>
      </x:c>
      <x:c r="E49" s="16" t="str">
        <x:v>https://marrytheworld.com/venue/casa-monte-cristo-collection/</x:v>
      </x:c>
      <x:c r="F49" s="16" t="str">
        <x:v>2026-08-04</x:v>
      </x:c>
      <x:c r="G49" s="16" t="str">
        <x:v>High</x:v>
      </x:c>
      <x:c r="H49" s="16" t="str">
        <x:v>Request a single itemized 2027/28 worksheet for buyout, lodging and all three hosted events.</x:v>
      </x:c>
    </x:row>
    <x:row r="50">
      <x:c r="A50" s="16" t="str">
        <x:v>Chateau de la Couronne</x:v>
      </x:c>
      <x:c r="B50" s="16" t="str">
        <x:v>C — watch / budget risk</x:v>
      </x:c>
      <x:c r="C50" s="16" t="str">
        <x:v>Official PDF: June-September venue EUR 34,450 plus 2026 essential catering EUR 313 per person and external suppliers from EUR 25,000; current page instead says venue from EUR 36,000 and catering/drinks from EUR 503 per person</x:v>
      </x:c>
      <x:c r="D50" s="16" t="str">
        <x:v>https://www.chateaudelacouronne.com/weddings</x:v>
      </x:c>
      <x:c r="E50" s="16" t="str">
        <x:v>https://www.chateaudelacouronne.com/_files/ugd/5213e5_20645d360c0a41b4bc55677c3e7f9a9a.pdf</x:v>
      </x:c>
      <x:c r="F50" s="16" t="str">
        <x:v>2026-08-04</x:v>
      </x:c>
      <x:c r="G50" s="16" t="str">
        <x:v>Medium due to conflicting official pricing</x:v>
      </x:c>
      <x:c r="H50" s="16" t="str">
        <x:v>Request a fully loaded quote with VAT/tax, admin, service, staffing and gratuity separated.</x:v>
      </x:c>
    </x:row>
    <x:row r="51">
      <x:c r="A51" s="16" t="str">
        <x:v>Chateau Les Crostes</x:v>
      </x:c>
      <x:c r="B51" s="16" t="str">
        <x:v>C — watch / budget risk</x:v>
      </x:c>
      <x:c r="C51" s="16" t="str">
        <x:v>Current exclusive dry-hire range about EUR 12,000-EUR 23,760; two-night minimum, three nights in June/July</x:v>
      </x:c>
      <x:c r="D51" s="16" t="str">
        <x:v>https://chateau-les-crostes.com/en/privatisation/</x:v>
      </x:c>
      <x:c r="E51" s="16" t="str">
        <x:v>https://chateaubeeselection.com/venues/chateau-les-crostes/</x:v>
      </x:c>
      <x:c r="F51" s="16" t="str">
        <x:v>2026-08-04</x:v>
      </x:c>
      <x:c r="G51" s="16" t="str">
        <x:v>Medium on property facts; low on total</x:v>
      </x:c>
      <x:c r="H51" s="16" t="str">
        <x:v>Request a single itemized 2027/28 worksheet for buyout, lodging and all three hosted events.</x:v>
      </x:c>
    </x:row>
    <x:row r="52">
      <x:c r="A52" s="16" t="str">
        <x:v>Craveiral Farmhouse</x:v>
      </x:c>
      <x:c r="B52" s="16" t="str">
        <x:v>C — watch / budget risk</x:v>
      </x:c>
      <x:c r="C52" s="16" t="str">
        <x:v>Current secondary listing starts at €55,000 but contradicts itself on whether food and beverage are included</x:v>
      </x:c>
      <x:c r="D52" s="16" t="str">
        <x:v>https://www.craveiral.pt/en/events</x:v>
      </x:c>
      <x:c r="E52" s="16" t="str">
        <x:v>https://www.wedinspire.com/wedding-venues/alentejo/craveiral-farmhouse/</x:v>
      </x:c>
      <x:c r="F52" s="16" t="str">
        <x:v>2026-08-04</x:v>
      </x:c>
      <x:c r="G52" s="16" t="str">
        <x:v>Low-medium due to package conflict</x:v>
      </x:c>
      <x:c r="H52" s="16" t="str">
        <x:v>Request a single itemized 2027/28 worksheet for buyout, lodging and all three hosted events.</x:v>
      </x:c>
    </x:row>
    <x:row r="53">
      <x:c r="A53" s="16" t="str">
        <x:v>Gather Greene</x:v>
      </x:c>
      <x:c r="B53" s="16" t="str">
        <x:v>C — watch / budget risk</x:v>
      </x:c>
      <x:c r="C53" s="16" t="str">
        <x:v>Official quote-only; current guide: USD 32,900 site + catering USD 28,500+, cabins separate</x:v>
      </x:c>
      <x:c r="D53" s="16" t="str">
        <x:v>https://www.gathergreene.com/weddings</x:v>
      </x:c>
      <x:c r="E53" s="16" t="str">
        <x:v>https://tulletogether.com/2026/02/11/hudson-valley-wedding-venues-with-onsite-accommodations-and-how-much-they-cost/</x:v>
      </x:c>
      <x:c r="F53" s="16" t="str">
        <x:v>2026-08-04</x:v>
      </x:c>
      <x:c r="G53" s="16" t="str">
        <x:v>Medium</x:v>
      </x:c>
      <x:c r="H53" s="16" t="str">
        <x:v>Request a fully loaded quote with VAT/tax, admin, service, staffing and gratuity separated.</x:v>
      </x:c>
    </x:row>
    <x:row r="54">
      <x:c r="A54" s="16" t="str">
        <x:v>Le Filigare Wine &amp; Country Relais</x:v>
      </x:c>
      <x:c r="B54" s="16" t="str">
        <x:v>C — watch / budget risk</x:v>
      </x:c>
      <x:c r="C54" s="16" t="str">
        <x:v>2027 and 2028 May-September three-night weekend EUR 32,000 VAT included; Mon-Thu EUR 29,800</x:v>
      </x:c>
      <x:c r="D54" s="16" t="str">
        <x:v>https://lefiligare.com/home/weddings/appartamenti-wedding/</x:v>
      </x:c>
      <x:c r="E54" s="16" t="str">
        <x:v>https://www.lalista.com/venues/tuscany/-le-filigare-winery-country-relais</x:v>
      </x:c>
      <x:c r="F54" s="16" t="str">
        <x:v>2026-08-04</x:v>
      </x:c>
      <x:c r="G54" s="16" t="str">
        <x:v>medium on rental; low on total</x:v>
      </x:c>
      <x:c r="H54" s="16" t="str">
        <x:v>Request a single itemized 2027/28 worksheet for buyout, lodging and all three hosted events.</x:v>
      </x:c>
    </x:row>
    <x:row r="55">
      <x:c r="A55" s="16" t="str">
        <x:v>Masseria Montenapoleone</x:v>
      </x:c>
      <x:c r="B55" s="16" t="str">
        <x:v>C — watch / budget risk</x:v>
      </x:c>
      <x:c r="C55" s="16" t="str">
        <x:v>Quote-only; room and wedding rates are not published as a complete package</x:v>
      </x:c>
      <x:c r="D55" s="16" t="str">
        <x:v>https://www.masseriamontenapoleone.it/en/wedding-in-masseria/</x:v>
      </x:c>
      <x:c r="E55" s="16" t="str">
        <x:v>https://www.exclusiveitalyweddings.com/puglia-weddings-masseria-montenapoleone</x:v>
      </x:c>
      <x:c r="F55" s="16" t="str">
        <x:v>2026-08-04</x:v>
      </x:c>
      <x:c r="G55" s="16" t="str">
        <x:v>Low-medium</x:v>
      </x:c>
      <x:c r="H55" s="16" t="str">
        <x:v>Get contractual amplified-music cutoff and afterparty location/hours.</x:v>
      </x:c>
    </x:row>
    <x:row r="56">
      <x:c r="A56" s="16" t="str">
        <x:v>Masseria Potenti</x:v>
      </x:c>
      <x:c r="B56" s="16" t="str">
        <x:v>C — watch / budget risk</x:v>
      </x:c>
      <x:c r="C56" s="16" t="str">
        <x:v>Independent planner reports wedding menu from EUR 198 per person; official room rates range from EUR 250 to EUR 650</x:v>
      </x:c>
      <x:c r="D56" s="16" t="str">
        <x:v>https://www.masseriapotenti.it/portfolio/a-special-day/</x:v>
      </x:c>
      <x:c r="E56" s="16" t="str">
        <x:v>https://impressionweddingsinitaly.com/venues/masseria-potenti/</x:v>
      </x:c>
      <x:c r="F56" s="16" t="str">
        <x:v>2026-08-04</x:v>
      </x:c>
      <x:c r="G56" s="16" t="str">
        <x:v>Medium-low</x:v>
      </x:c>
      <x:c r="H56" s="16" t="str">
        <x:v>Request a fully loaded quote with VAT/tax, admin, service, staffing and gratuity separated.</x:v>
      </x:c>
    </x:row>
    <x:row r="57">
      <x:c r="A57" s="16" t="str">
        <x:v>Monteverde at Oldstone</x:v>
      </x:c>
      <x:c r="B57" s="16" t="str">
        <x:v>C — watch / budget risk</x:v>
      </x:c>
      <x:c r="C57" s="16" t="str">
        <x:v>Current guide USD 416 pp starting; USD 62,400 for 150 before upgrades/lodging</x:v>
      </x:c>
      <x:c r="D57" s="16" t="str">
        <x:v>https://www.weddingwire.com/biz/monteverde-at-oldstone-cortlandt-manor/1bc0c583617d415e.html</x:v>
      </x:c>
      <x:c r="E57" s="16" t="str">
        <x:v>https://lovejackiefoto.com/upstate-ny-wedding-venues/</x:v>
      </x:c>
      <x:c r="F57" s="16" t="str">
        <x:v>2026-08-04</x:v>
      </x:c>
      <x:c r="G57" s="16" t="str">
        <x:v>Medium</x:v>
      </x:c>
      <x:c r="H57" s="16" t="str">
        <x:v>Get contractual amplified-music cutoff and afterparty location/hours.</x:v>
      </x:c>
    </x:row>
    <x:row r="58">
      <x:c r="A58" s="16" t="str">
        <x:v>Tenute del Cerro</x:v>
      </x:c>
      <x:c r="B58" s="16" t="str">
        <x:v>C — watch / budget risk</x:v>
      </x:c>
      <x:c r="C58" s="16" t="str">
        <x:v>Quote-only; entry refers to a portfolio rather than one venue</x:v>
      </x:c>
      <x:c r="D58" s="16" t="str">
        <x:v>https://www.tenutedelcerro.it/en/</x:v>
      </x:c>
      <x:c r="E58" s="16" t="str">
        <x:v>https://italianvenues.com/weddings/venues/tenute-del-cerro/</x:v>
      </x:c>
      <x:c r="F58" s="16" t="str">
        <x:v>2026-08-04</x:v>
      </x:c>
      <x:c r="G58" s="16" t="str">
        <x:v>Low</x:v>
      </x:c>
      <x:c r="H58" s="16" t="str">
        <x:v>Request a single itemized 2027/28 worksheet for buyout, lodging and all three hosted events.</x:v>
      </x:c>
    </x:row>
    <x:row r="59">
      <x:c r="A59" s="16" t="str">
        <x:v>Villa Nemora</x:v>
      </x:c>
      <x:c r="B59" s="16" t="str">
        <x:v>C — watch / budget risk</x:v>
      </x:c>
      <x:c r="C59" s="16" t="str">
        <x:v>2027 high-season three-night weekend from EUR 39,850</x:v>
      </x:c>
      <x:c r="D59" s="16" t="str">
        <x:v>https://www.villanemora.it/en/villa-nemora.html</x:v>
      </x:c>
      <x:c r="E59" s="16" t="str">
        <x:v>https://www.lalista.com/venues/tuscany/villa-nemora</x:v>
      </x:c>
      <x:c r="F59" s="16" t="str">
        <x:v>2026-08-04</x:v>
      </x:c>
      <x:c r="G59" s="16" t="str">
        <x:v>medium on rental; low on total</x:v>
      </x:c>
      <x:c r="H59" s="16" t="str">
        <x:v>Confirm signed capacity and rain-plan seating for the modeled guest count.</x:v>
      </x:c>
    </x:row>
    <x:row r="60">
      <x:c r="A60" s="16" t="str">
        <x:v>Villa Pitiana</x:v>
      </x:c>
      <x:c r="B60" s="16" t="str">
        <x:v>C — watch / budget risk</x:v>
      </x:c>
      <x:c r="C60" s="16" t="str">
        <x:v>2026/27 high-season weekend three-night exclusive rental EUR 36,000 plus one-time reception fee EUR 2,500 + 22% VAT</x:v>
      </x:c>
      <x:c r="D60" s="16" t="str">
        <x:v>https://www.villapitiana.com/en/hotel-tuscany/wedding-location-florence</x:v>
      </x:c>
      <x:c r="E60" s="16" t="str">
        <x:v>https://begonia-crocodile-kkrp.squarespace.com/venues/tuscany/villa-pitiana-hotel</x:v>
      </x:c>
      <x:c r="F60" s="16" t="str">
        <x:v>2026-08-04</x:v>
      </x:c>
      <x:c r="G60" s="16" t="str">
        <x:v>medium-low</x:v>
      </x:c>
      <x:c r="H60" s="16" t="str">
        <x:v>Request a single itemized 2027/28 worksheet for buyout, lodging and all three hosted events.</x:v>
      </x:c>
    </x:row>
    <x:row r="61">
      <x:c r="A61" s="16" t="str">
        <x:v>Arrow Park</x:v>
      </x:c>
      <x:c r="B61" s="16" t="str">
        <x:v>C — watch / hosted-lodging risk</x:v>
      </x:c>
      <x:c r="C61" s="16" t="str">
        <x:v>Private peak-Saturday proposal: $35,480.51 fully loaded for venue, wedding-night lodging and included afterparty; catering/bar excluded</x:v>
      </x:c>
      <x:c r="D61" s="16" t="str">
        <x:v>https://www.herecomestheguide.com/wedding-venues/new-york/arrow-park</x:v>
      </x:c>
      <x:c r="E61" s="16" t="str">
        <x:v>https://www.theknot.com/marketplace/arrow-park-monroe-ny-516206</x:v>
      </x:c>
      <x:c r="F61" s="16" t="str">
        <x:v>2026-08-04</x:v>
      </x:c>
      <x:c r="G61" s="16" t="str">
        <x:v>High</x:v>
      </x:c>
      <x:c r="H61" s="16" t="str">
        <x:v>Request a single itemized 2027/28 worksheet for buyout, lodging and all three hosted events.</x:v>
      </x:c>
    </x:row>
    <x:row r="62">
      <x:c r="A62" s="16" t="str">
        <x:v>Crested Hen Farms</x:v>
      </x:c>
      <x:c r="B62" s="16" t="str">
        <x:v>C — watch / hosted-lodging risk</x:v>
      </x:c>
      <x:c r="C62" s="16" t="str">
        <x:v>User quote: $19,000 excluding food, with lodging for 21; public page previously showed an $18,000 weekend starting point</x:v>
      </x:c>
      <x:c r="D62" s="16" t="str">
        <x:v>https://www.crestedhenfarms.com/rentals</x:v>
      </x:c>
      <x:c r="E62" s="16" t="str">
        <x:v>https://drive.google.com/file/d/1iQtiIVXXXpzoa_PmHblxy-uy4nhMKsgJ/view</x:v>
      </x:c>
      <x:c r="F62" s="16" t="str">
        <x:v>2026-08-04</x:v>
      </x:c>
      <x:c r="G62" s="16" t="str">
        <x:v>Medium-high on user quote; medium on total</x:v>
      </x:c>
      <x:c r="H62" s="16" t="str">
        <x:v>Request a single itemized 2027/28 worksheet for buyout, lodging and all three hosted events.</x:v>
      </x:c>
    </x:row>
    <x:row r="63">
      <x:c r="A63" s="16" t="str">
        <x:v>Full Moon Resort</x:v>
      </x:c>
      <x:c r="B63" s="16" t="str">
        <x:v>C — watch / hosted-lodging risk</x:v>
      </x:c>
      <x:c r="C63" s="16" t="str">
        <x:v>Peak wedding-day package USD 150-320 pp including site/planning/food/rentals/3-hour premium bar/staff/service</x:v>
      </x:c>
      <x:c r="D63" s="16" t="str">
        <x:v>https://www.fmrweddings.com/about</x:v>
      </x:c>
      <x:c r="E63" s="16" t="str">
        <x:v>https://www.herecomestheguide.com/wedding-venues/new-york/full-moon-resort</x:v>
      </x:c>
      <x:c r="F63" s="16" t="str">
        <x:v>2026-08-04</x:v>
      </x:c>
      <x:c r="G63" s="16" t="str">
        <x:v>Medium</x:v>
      </x:c>
      <x:c r="H63" s="16" t="str">
        <x:v>Get contractual amplified-music cutoff and afterparty location/hours.</x:v>
      </x:c>
    </x:row>
    <x:row r="64">
      <x:c r="A64" s="16" t="str">
        <x:v>Magnanini Winery</x:v>
      </x:c>
      <x:c r="B64" s="16" t="str">
        <x:v>C — watch / hosted-lodging risk</x:v>
      </x:c>
      <x:c r="C64" s="16" t="str">
        <x:v>Site USD 4,500-9,500; catering USD 175 pp; USD 15k F&amp;B min; 22% service + 8% tax</x:v>
      </x:c>
      <x:c r="D64" s="16" t="str">
        <x:v>https://magwedding.com/weddings</x:v>
      </x:c>
      <x:c r="E64" s="16" t="str">
        <x:v>https://magwedding.com/</x:v>
      </x:c>
      <x:c r="F64" s="16" t="str">
        <x:v>2026-08-04</x:v>
      </x:c>
      <x:c r="G64" s="16" t="str">
        <x:v>High</x:v>
      </x:c>
      <x:c r="H64" s="16" t="str">
        <x:v>Get contractual amplified-music cutoff and afterparty location/hours.</x:v>
      </x:c>
    </x:row>
    <x:row r="65">
      <x:c r="A65" s="16" t="str">
        <x:v>A Private Estate Events</x:v>
      </x:c>
      <x:c r="B65" s="16" t="str">
        <x:v>D - user pass</x:v>
      </x:c>
      <x:c r="C65" s="16" t="str">
        <x:v>Current marketplace peak start about $15,500; wedding is eight hours, with housing and other events separate</x:v>
      </x:c>
      <x:c r="D65" s="16" t="str">
        <x:v>https://aprivateestate.com/</x:v>
      </x:c>
      <x:c r="E65" s="16" t="str"/>
      <x:c r="F65" s="16" t="str">
        <x:v>2026-08-04</x:v>
      </x:c>
      <x:c r="G65" s="16" t="str">
        <x:v>User decision only</x:v>
      </x:c>
      <x:c r="H65" s="16" t="str">
        <x:v>No further outreach unless the couple reopens this explicit pass.</x:v>
      </x:c>
    </x:row>
    <x:row r="66">
      <x:c r="A66" s="16" t="str">
        <x:v>Adirondack Camp</x:v>
      </x:c>
      <x:c r="B66" s="16" t="str">
        <x:v>D - user pass</x:v>
      </x:c>
      <x:c r="C66" s="16" t="str">
        <x:v>2026 site-only USD 26,750; all-inclusive USD 62,000; luxury USD 82,000 for 150</x:v>
      </x:c>
      <x:c r="D66" s="16" t="str">
        <x:v>https://mycampwedding.com/services/all-inclusive-wedding-package</x:v>
      </x:c>
      <x:c r="E66" s="16" t="str">
        <x:v>https://mycampwedding.com/services/2027-wedding-dates</x:v>
      </x:c>
      <x:c r="F66" s="16" t="str">
        <x:v>2026-08-04</x:v>
      </x:c>
      <x:c r="G66" s="16" t="str">
        <x:v>Medium-high</x:v>
      </x:c>
      <x:c r="H66" s="16" t="str">
        <x:v>No further outreach unless the couple reopens this explicit pass.</x:v>
      </x:c>
    </x:row>
    <x:row r="67">
      <x:c r="A67" s="16" t="str">
        <x:v>Chateau de Sanse</x:v>
      </x:c>
      <x:c r="B67" s="16" t="str">
        <x:v>D - user pass</x:v>
      </x:c>
      <x:c r="C67" s="16" t="str">
        <x:v>Current listing anchors conflict: about EUR 10,355 for two nights or EUR 11,055-EUR 11,355 for three; per-person event catering still needs a quote</x:v>
      </x:c>
      <x:c r="D67" s="16" t="str">
        <x:v>https://www.chateaudesanse.com/</x:v>
      </x:c>
      <x:c r="E67" s="16" t="str">
        <x:v>https://chateaubeeselection.com/venues/chateau-de-sanse/</x:v>
      </x:c>
      <x:c r="F67" s="16" t="str">
        <x:v>2026-08-04</x:v>
      </x:c>
      <x:c r="G67" s="16" t="str">
        <x:v>User decision only</x:v>
      </x:c>
      <x:c r="H67" s="16" t="str">
        <x:v>No further outreach unless the couple reopens this explicit pass.</x:v>
      </x:c>
    </x:row>
    <x:row r="68">
      <x:c r="A68" s="16" t="str">
        <x:v>Glynwood</x:v>
      </x:c>
      <x:c r="B68" s="16" t="str">
        <x:v>D - user pass</x:v>
      </x:c>
      <x:c r="C68" s="16" t="str">
        <x:v>Private proposal: $23,750 facility/donation; mandatory lodging totals $12,710 before 8.375% tax; food, tent and vendors extra</x:v>
      </x:c>
      <x:c r="D68" s="16" t="str">
        <x:v>https://www.glynwood.org/weddings</x:v>
      </x:c>
      <x:c r="E68" s="16" t="str">
        <x:v>https://drive.google.com/file/d/1Md_kAA4WmGQKLrE2xssCGzgLao0rCFlk/view</x:v>
      </x:c>
      <x:c r="F68" s="16" t="str">
        <x:v>2026-08-04</x:v>
      </x:c>
      <x:c r="G68" s="16" t="str">
        <x:v>High on private proposal</x:v>
      </x:c>
      <x:c r="H68" s="16" t="str">
        <x:v>No further outreach unless the couple reopens this explicit pass.</x:v>
      </x:c>
    </x:row>
    <x:row r="69">
      <x:c r="A69" s="16" t="str">
        <x:v>Masseria Alchimia</x:v>
      </x:c>
      <x:c r="B69" s="16" t="str">
        <x:v>D - user pass</x:v>
      </x:c>
      <x:c r="C69" s="16" t="str">
        <x:v>Public teaser starts around EUR 4,200, but the couple's direct quote was materially higher and controls</x:v>
      </x:c>
      <x:c r="D69" s="16" t="str">
        <x:v>https://www.alchimiacollection.com/</x:v>
      </x:c>
      <x:c r="E69" s="16" t="str">
        <x:v>https://www.alchimiacollection.com/en/thank-you-for-contacting-us/</x:v>
      </x:c>
      <x:c r="F69" s="16" t="str">
        <x:v>2026-08-04</x:v>
      </x:c>
      <x:c r="G69" s="16" t="str">
        <x:v>User decision only</x:v>
      </x:c>
      <x:c r="H69" s="16" t="str">
        <x:v>No further outreach unless the couple reopens this explicit pass.</x:v>
      </x:c>
    </x:row>
    <x:row r="70">
      <x:c r="A70" s="16" t="str">
        <x:v>The Old Mill at Audrey's Farmhouse</x:v>
      </x:c>
      <x:c r="B70" s="16" t="str">
        <x:v>D - user pass</x:v>
      </x:c>
      <x:c r="C70" s="16" t="str">
        <x:v>Private brochure: venue $14,000 July/August or $16,000 June/September/October + 8%; F&amp;B $195/person, $28,000 minimum + 20% service + 8% tax</x:v>
      </x:c>
      <x:c r="D70" s="16" t="str">
        <x:v>https://www.audreysfarmhouse.com/weddings</x:v>
      </x:c>
      <x:c r="E70" s="16" t="str">
        <x:v>https://www.audreysfarmhouse.com/</x:v>
      </x:c>
      <x:c r="F70" s="16" t="str">
        <x:v>2026-08-04</x:v>
      </x:c>
      <x:c r="G70" s="16" t="str">
        <x:v>High on private brochure</x:v>
      </x:c>
      <x:c r="H70" s="16" t="str">
        <x:v>No further outreach unless the couple reopens this explicit pass.</x:v>
      </x:c>
    </x:row>
    <x:row r="71">
      <x:c r="A71" s="16" t="str">
        <x:v>Bello Giorno Estate</x:v>
      </x:c>
      <x:c r="B71" s="16" t="str">
        <x:v>D — eliminate / over cap</x:v>
      </x:c>
      <x:c r="C71" s="16" t="str">
        <x:v>Menus roughly USD 90-139 pp; estate fee/mandatory fees quote-only</x:v>
      </x:c>
      <x:c r="D71" s="16" t="str">
        <x:v>https://bellogiornocatering.com/weddings/menus/</x:v>
      </x:c>
      <x:c r="E71" s="16" t="str">
        <x:v>https://www.theknot.com/marketplace/bello-giorno-estate-belvidere-nj-512977</x:v>
      </x:c>
      <x:c r="F71" s="16" t="str">
        <x:v>2026-08-04</x:v>
      </x:c>
      <x:c r="G71" s="16" t="str">
        <x:v>High</x:v>
      </x:c>
      <x:c r="H71" s="16" t="str">
        <x:v>Get contractual amplified-music cutoff and afterparty location/hours.</x:v>
      </x:c>
    </x:row>
    <x:row r="72">
      <x:c r="A72" s="16" t="str">
        <x:v>Benmarl Winery</x:v>
      </x:c>
      <x:c r="B72" s="16" t="str">
        <x:v>D — eliminate / over cap</x:v>
      </x:c>
      <x:c r="C72" s="16" t="str">
        <x:v>No current official wedding page</x:v>
      </x:c>
      <x:c r="D72" s="16" t="str">
        <x:v>https://benmarl.com/</x:v>
      </x:c>
      <x:c r="E72" s="16" t="str">
        <x:v>https://www.cvent.com/venues/en-US/marlboro/special-event-venue/benmarl-winery/venue-364c5949-b65b-4e1d-b0a4-11428487864d</x:v>
      </x:c>
      <x:c r="F72" s="16" t="str">
        <x:v>2026-08-04</x:v>
      </x:c>
      <x:c r="G72" s="16" t="str">
        <x:v>Very low</x:v>
      </x:c>
      <x:c r="H72" s="16" t="str">
        <x:v>Get contractual amplified-music cutoff and afterparty location/hours.</x:v>
      </x:c>
    </x:row>
    <x:row r="73">
      <x:c r="A73" s="16" t="str">
        <x:v>Castello La Leccia</x:v>
      </x:c>
      <x:c r="B73" s="16" t="str">
        <x:v>D — eliminate / over cap</x:v>
      </x:c>
      <x:c r="C73" s="16" t="str">
        <x:v>Current 2027 listing: about EUR 10,000/night, three-night minimum</x:v>
      </x:c>
      <x:c r="D73" s="16" t="str">
        <x:v>https://www.castellolaleccia.com/</x:v>
      </x:c>
      <x:c r="E73" s="16" t="str">
        <x:v>https://italianvenues.com/weddings/venues/castello-la-leccia/</x:v>
      </x:c>
      <x:c r="F73" s="16" t="str">
        <x:v>2026-08-04</x:v>
      </x:c>
      <x:c r="G73" s="16" t="str">
        <x:v>High on capacity</x:v>
      </x:c>
      <x:c r="H73" s="16" t="str">
        <x:v>Confirm signed capacity and rain-plan seating for the modeled guest count.</x:v>
      </x:c>
    </x:row>
    <x:row r="74">
      <x:c r="A74" s="16" t="str">
        <x:v>Pendry Natirar</x:v>
      </x:c>
      <x:c r="B74" s="16" t="str">
        <x:v>D — eliminate / over cap</x:v>
      </x:c>
      <x:c r="C74" s="16" t="str">
        <x:v>Rental USD 3,000-10,000; F&amp;B minimum USD 50,000-90,000; meals USD 385-575 pp; 26% service</x:v>
      </x:c>
      <x:c r="D74" s="16" t="str">
        <x:v>https://www.pendry.com/natirar/gatherings/weddings/</x:v>
      </x:c>
      <x:c r="E74" s="16" t="str">
        <x:v>https://www.herecomestheguide.com/wedding-venues/new-jersey/pendry-natirar</x:v>
      </x:c>
      <x:c r="F74" s="16" t="str">
        <x:v>2026-08-04</x:v>
      </x:c>
      <x:c r="G74" s="16" t="str">
        <x:v>High</x:v>
      </x:c>
      <x:c r="H74" s="16" t="str">
        <x:v>Confirm signed capacity and rain-plan seating for the modeled guest count.</x:v>
      </x:c>
    </x:row>
    <x:row r="75">
      <x:c r="A75" s="16" t="str">
        <x:v>Villa Catureglio</x:v>
      </x:c>
      <x:c r="B75" s="16" t="str">
        <x:v>D — eliminate / over cap</x:v>
      </x:c>
      <x:c r="C75" s="16" t="str">
        <x:v>2027-28 from EUR 20,000 including exclusive three-night rental and accommodation for 41</x:v>
      </x:c>
      <x:c r="D75" s="16" t="str">
        <x:v>https://www.catureglio.com/weddings-celebrations/</x:v>
      </x:c>
      <x:c r="E75" s="16" t="str">
        <x:v>https://www.wedinspire.com/wedding-venues/tuscany/villa-catureglio/</x:v>
      </x:c>
      <x:c r="F75" s="16" t="str">
        <x:v>2026-08-04</x:v>
      </x:c>
      <x:c r="G75" s="16" t="str">
        <x:v>high on capacity; medium on price inclusions</x:v>
      </x:c>
      <x:c r="H75" s="16" t="str">
        <x:v>Confirm signed capacity and rain-plan seating for the modeled guest count.</x:v>
      </x:c>
    </x:row>
  </x:sheetData>
  <x:mergeCells>
    <x:mergeCell ref="A1:H2"/>
    <x:mergeCell ref="A3:H3"/>
  </x:mergeCells>
  <x:conditionalFormatting sqref="A5:H75">
    <x:cfRule type="expression" dxfId="11" priority="1">
      <x:formula>MOD(ROW(),2)=0</x:formula>
    </x:cfRule>
  </x:conditionalFormatting>
  <x:pageMargins left="0.7" right="0.7" top="0.75" bottom="0.75" header="0.3" footer="0.3"/>
  <x:tableParts count="1">
    <x:tablePart xmlns:r="http://schemas.openxmlformats.org/officeDocument/2006/relationships" r:id="Rdd472787289b41b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36" hidden="0" customWidth="1"/>
    <x:col min="3" max="3" width="31" hidden="0" customWidth="1"/>
    <x:col min="4" max="4" width="64" hidden="0" customWidth="1"/>
    <x:col min="5" max="5" width="22" hidden="0" customWidth="1"/>
    <x:col min="6" max="6" width="54" hidden="0" customWidth="1"/>
    <x:col min="7" max="7" width="24" hidden="0" customWidth="1"/>
    <x:col min="8" max="8" width="20" hidden="0" customWidth="1"/>
    <x:col min="9" max="9" width="72" hidden="0" customWidth="1"/>
    <x:col min="10" max="10" width="58" hidden="0" customWidth="1"/>
  </x:cols>
  <x:sheetData>
    <x:row r="1" ht="34" customHeight="1">
      <x:c r="A1" s="3" t="str">
        <x:v>User decisions and workbook reconciliation</x:v>
      </x:c>
      <x:c r="B1" s="3" t="str">
        <x:v>User decisions and workbook reconciliation</x:v>
      </x:c>
      <x:c r="C1" s="3" t="str">
        <x:v>User decisions and workbook reconciliation</x:v>
      </x:c>
      <x:c r="D1" s="3" t="str">
        <x:v>User decisions and workbook reconciliation</x:v>
      </x:c>
      <x:c r="E1" s="3" t="str">
        <x:v>User decisions and workbook reconciliation</x:v>
      </x:c>
      <x:c r="F1" s="3" t="str">
        <x:v>User decisions and workbook reconciliation</x:v>
      </x:c>
      <x:c r="G1" s="3" t="str">
        <x:v>User decisions and workbook reconciliation</x:v>
      </x:c>
      <x:c r="H1" s="3" t="str">
        <x:v>User decisions and workbook reconciliation</x:v>
      </x:c>
      <x:c r="I1" s="3" t="str">
        <x:v>User decisions and workbook reconciliation</x:v>
      </x:c>
      <x:c r="J1" s="3" t="str">
        <x:v>User decisions and workbook reconciliation</x:v>
      </x:c>
    </x:row>
    <x:row r="2" ht="34" customHeight="1">
      <x:c r="A2" s="3" t="str">
        <x:v>User decisions and workbook reconciliation</x:v>
      </x:c>
      <x:c r="B2" s="3" t="str">
        <x:v>User decisions and workbook reconciliation</x:v>
      </x:c>
      <x:c r="C2" s="3" t="str">
        <x:v>User decisions and workbook reconciliation</x:v>
      </x:c>
      <x:c r="D2" s="3" t="str">
        <x:v>User decisions and workbook reconciliation</x:v>
      </x:c>
      <x:c r="E2" s="3" t="str">
        <x:v>User decisions and workbook reconciliation</x:v>
      </x:c>
      <x:c r="F2" s="3" t="str">
        <x:v>User decisions and workbook reconciliation</x:v>
      </x:c>
      <x:c r="G2" s="3" t="str">
        <x:v>User decisions and workbook reconciliation</x:v>
      </x:c>
      <x:c r="H2" s="3" t="str">
        <x:v>User decisions and workbook reconciliation</x:v>
      </x:c>
      <x:c r="I2" s="3" t="str">
        <x:v>User decisions and workbook reconciliation</x:v>
      </x:c>
      <x:c r="J2" s="3" t="str">
        <x:v>User decisions and workbook reconciliation</x:v>
      </x:c>
    </x:row>
    <x:row r="3" ht="30" customHeight="1">
      <x:c r="A3" s="7" t="str">
        <x:v>Every row from Wedding Venues.xlsx plus later venue decisions is retained here, including duplicates, private quote facts, explicit passes and the Italy planner referral. Public research remains separate when it conflicts.</x:v>
      </x:c>
      <x:c r="B3" s="7" t="str">
        <x:v>Every row from Wedding Venues.xlsx plus later venue decisions is retained here, including duplicates, private quote facts, explicit passes and the Italy planner referral. Public research remains separate when it conflicts.</x:v>
      </x:c>
      <x:c r="C3" s="7" t="str">
        <x:v>Every row from Wedding Venues.xlsx plus later venue decisions is retained here, including duplicates, private quote facts, explicit passes and the Italy planner referral. Public research remains separate when it conflicts.</x:v>
      </x:c>
      <x:c r="D3" s="7" t="str">
        <x:v>Every row from Wedding Venues.xlsx plus later venue decisions is retained here, including duplicates, private quote facts, explicit passes and the Italy planner referral. Public research remains separate when it conflicts.</x:v>
      </x:c>
      <x:c r="E3" s="7" t="str">
        <x:v>Every row from Wedding Venues.xlsx plus later venue decisions is retained here, including duplicates, private quote facts, explicit passes and the Italy planner referral. Public research remains separate when it conflicts.</x:v>
      </x:c>
      <x:c r="F3" s="7" t="str">
        <x:v>Every row from Wedding Venues.xlsx plus later venue decisions is retained here, including duplicates, private quote facts, explicit passes and the Italy planner referral. Public research remains separate when it conflicts.</x:v>
      </x:c>
      <x:c r="G3" s="7" t="str">
        <x:v>Every row from Wedding Venues.xlsx plus later venue decisions is retained here, including duplicates, private quote facts, explicit passes and the Italy planner referral. Public research remains separate when it conflicts.</x:v>
      </x:c>
      <x:c r="H3" s="7" t="str">
        <x:v>Every row from Wedding Venues.xlsx plus later venue decisions is retained here, including duplicates, private quote facts, explicit passes and the Italy planner referral. Public research remains separate when it conflicts.</x:v>
      </x:c>
      <x:c r="I3" s="7" t="str">
        <x:v>Every row from Wedding Venues.xlsx plus later venue decisions is retained here, including duplicates, private quote facts, explicit passes and the Italy planner referral. Public research remains separate when it conflicts.</x:v>
      </x:c>
      <x:c r="J3" s="7" t="str">
        <x:v>Every row from Wedding Venues.xlsx plus later venue decisions is retained here, including duplicates, private quote facts, explicit passes and the Italy planner referral. Public research remains separate when it conflicts.</x:v>
      </x:c>
    </x:row>
    <x:row r="4" ht="34" customHeight="1">
      <x:c r="A4" s="12" t="str">
        <x:v>Source row</x:v>
      </x:c>
      <x:c r="B4" s="12" t="str">
        <x:v>Original entry</x:v>
      </x:c>
      <x:c r="C4" s="12" t="str">
        <x:v>Canonical record</x:v>
      </x:c>
      <x:c r="D4" s="12" t="str">
        <x:v>Price / package note</x:v>
      </x:c>
      <x:c r="E4" s="12" t="str">
        <x:v>Dates / outreach</x:v>
      </x:c>
      <x:c r="F4" s="12" t="str">
        <x:v>Original notes</x:v>
      </x:c>
      <x:c r="G4" s="12" t="str">
        <x:v>Decision status</x:v>
      </x:c>
      <x:c r="H4" s="12" t="str">
        <x:v>Match</x:v>
      </x:c>
      <x:c r="I4" s="12" t="str">
        <x:v>Reconciliation / next action</x:v>
      </x:c>
      <x:c r="J4" s="12" t="str">
        <x:v>Source / link</x:v>
      </x:c>
    </x:row>
    <x:row r="5">
      <x:c r="A5" s="16" t="n">
        <x:v>2</x:v>
      </x:c>
      <x:c r="B5" s="16" t="str">
        <x:v>Glynwood</x:v>
      </x:c>
      <x:c r="C5" s="16" t="str">
        <x:v>Glynwood</x:v>
      </x:c>
      <x:c r="D5" s="16" t="str">
        <x:v>$23,750: $6,000 donation + $17,750 facility fee; wedding day, 5-hour rehearsal dinner and 2-hour brunch facility use; lodging and afterparty extra</x:v>
      </x:c>
      <x:c r="E5" s="16" t="str">
        <x:v>2028 earliest</x:v>
      </x:c>
      <x:c r="F5" s="16" t="str">
        <x:v>pass; too expensive</x:v>
      </x:c>
      <x:c r="G5" s="16" t="str">
        <x:v>Pass - too expensive</x:v>
      </x:c>
      <x:c r="H5" s="16" t="str">
        <x:v>New venue</x:v>
      </x:c>
      <x:c r="I5" s="16" t="str">
        <x:v>Private PDF confirms the fee, mandatory two-night lodging, tent/vendor requirements and afterparty surcharge.</x:v>
      </x:c>
      <x:c r="J5" s="16" t="str">
        <x:v>https://drive.google.com/file/d/1Md_kAA4WmGQKLrE2xssCGzgLao0rCFlk/view</x:v>
      </x:c>
    </x:row>
    <x:row r="6">
      <x:c r="A6" s="16" t="n">
        <x:v>3</x:v>
      </x:c>
      <x:c r="B6" s="16" t="str">
        <x:v>Candlelight Farms Inn</x:v>
      </x:c>
      <x:c r="C6" s="16" t="str">
        <x:v>Candlelight Farms Inn</x:v>
      </x:c>
      <x:c r="D6" s="16" t="str">
        <x:v>$10,000; vendors not included</x:v>
      </x:c>
      <x:c r="E6" s="16" t="str">
        <x:v>TBD</x:v>
      </x:c>
      <x:c r="F6" s="16" t="str">
        <x:v>CT / lake / tent appeal; ceremony timing and 11pm guest departure undermine sunset and afterparty; weekend scope needs confirmation.</x:v>
      </x:c>
      <x:c r="G6" s="16" t="str">
        <x:v>Watch - curfew risk</x:v>
      </x:c>
      <x:c r="H6" s="16" t="str">
        <x:v>New venue</x:v>
      </x:c>
      <x:c r="I6" s="16" t="str">
        <x:v>Official contract adds a 15% service fee and hard 10:30pm music/alcohol stop; rooms, restroom trailer and vendors are extra.</x:v>
      </x:c>
      <x:c r="J6" s="16" t="str">
        <x:v>https://drive.google.com/file/d/1VZZr5n0b2IbZvDFxQPOK_S2vy3hevpgY/view</x:v>
      </x:c>
    </x:row>
    <x:row r="7">
      <x:c r="A7" s="16" t="n">
        <x:v>4</x:v>
      </x:c>
      <x:c r="B7" s="16" t="str">
        <x:v>Arrow Park</x:v>
      </x:c>
      <x:c r="C7" s="16" t="str">
        <x:v>Arrow Park</x:v>
      </x:c>
      <x:c r="D7" s="16" t="str">
        <x:v>$35,480.51 for peak Saturday; food excluded; afterparty included</x:v>
      </x:c>
      <x:c r="E7" s="16" t="str">
        <x:v>TBD</x:v>
      </x:c>
      <x:c r="F7" s="16" t="str">
        <x:v>Monroe NY; outdoor estate; afterparty possible.</x:v>
      </x:c>
      <x:c r="G7" s="16" t="str">
        <x:v>Active - private quote</x:v>
      </x:c>
      <x:c r="H7" s="16" t="str">
        <x:v>Matched existing</x:v>
      </x:c>
      <x:c r="I7" s="16" t="str">
        <x:v>Private proposal supersedes the generic rental midpoint in the cost model; catering/bar remain modeled separately.</x:v>
      </x:c>
      <x:c r="J7" s="16" t="str">
        <x:v>https://drive.google.com/file/d/1TJB8-Rnbq2ygK0DpFyxNm1qtQJfQl4u3/view</x:v>
      </x:c>
    </x:row>
    <x:row r="8">
      <x:c r="A8" s="16" t="n">
        <x:v>5</x:v>
      </x:c>
      <x:c r="B8" s="16" t="str">
        <x:v>Crested Hen Farms</x:v>
      </x:c>
      <x:c r="C8" s="16" t="str">
        <x:v>Crested Hen Farms</x:v>
      </x:c>
      <x:c r="D8" s="16" t="str">
        <x:v>$19,000 excluding food; accommodations for 21; rehearsal dinner and inn afterparty are add-ons</x:v>
      </x:c>
      <x:c r="E8" s="16" t="str">
        <x:v>TBD</x:v>
      </x:c>
      <x:c r="F8" s="16" t="str">
        <x:v>Near Mohonk Mountain / NY-NJ; outdoor and tent reception.</x:v>
      </x:c>
      <x:c r="G8" s="16" t="str">
        <x:v>First-call</x:v>
      </x:c>
      <x:c r="H8" s="16" t="str">
        <x:v>New venue</x:v>
      </x:c>
      <x:c r="I8" s="16" t="str">
        <x:v>User quote is treated as newer than the public $18,000 starting price; request a fully loaded weekend worksheet.</x:v>
      </x:c>
      <x:c r="J8" s="16" t="str">
        <x:v>https://drive.google.com/file/d/1iQtiIVXXXpzoa_PmHblxy-uy4nhMKsgJ/view</x:v>
      </x:c>
    </x:row>
    <x:row r="9">
      <x:c r="A9" s="16" t="n">
        <x:v>6</x:v>
      </x:c>
      <x:c r="B9" s="16" t="str">
        <x:v>Contacted Italy wedding package website 7/26</x:v>
      </x:c>
      <x:c r="C9" s="16" t="str">
        <x:v>Package Wedding in Italy referral</x:v>
      </x:c>
      <x:c r="D9" s="16" t="str"/>
      <x:c r="E9" s="16" t="str">
        <x:v>Contacted 7/26</x:v>
      </x:c>
      <x:c r="F9" s="16" t="str">
        <x:v>Planner/referral source, not a venue.</x:v>
      </x:c>
      <x:c r="G9" s="16" t="str">
        <x:v>Source / referral</x:v>
      </x:c>
      <x:c r="H9" s="16" t="str">
        <x:v>Not a venue</x:v>
      </x:c>
      <x:c r="I9" s="16" t="str">
        <x:v>Moved to this contact log instead of inflating the venue count.</x:v>
      </x:c>
      <x:c r="J9" s="16" t="str">
        <x:v>https://www.packageweddinginitaly.com/contacts/</x:v>
      </x:c>
    </x:row>
    <x:row r="10">
      <x:c r="A10" s="16" t="n">
        <x:v>7</x:v>
      </x:c>
      <x:c r="B10" s="16" t="str">
        <x:v>Castello la Leccia - contacted for quote 7/26</x:v>
      </x:c>
      <x:c r="C10" s="16" t="str">
        <x:v>Castello La Leccia</x:v>
      </x:c>
      <x:c r="D10" s="16" t="str">
        <x:v>Quote pending</x:v>
      </x:c>
      <x:c r="E10" s="16" t="str">
        <x:v>Contacted 7/26</x:v>
      </x:c>
      <x:c r="F10" s="16" t="str"/>
      <x:c r="G10" s="16" t="str">
        <x:v>Eliminate - capacity</x:v>
      </x:c>
      <x:c r="H10" s="16" t="str">
        <x:v>New venue</x:v>
      </x:c>
      <x:c r="I10" s="16" t="str">
        <x:v>Current 2027 material indicates about 34 onsite sleepers and a 60-person event cap, below the 100-person abroad requirement.</x:v>
      </x:c>
      <x:c r="J10" s="16" t="str">
        <x:v>https://italianvenues.com/weddings/venues/castello-la-leccia/</x:v>
      </x:c>
    </x:row>
    <x:row r="11">
      <x:c r="A11" s="16" t="n">
        <x:v>8</x:v>
      </x:c>
      <x:c r="B11" s="16" t="str">
        <x:v>Castello Ristonchi; meeting scheduled 9/4</x:v>
      </x:c>
      <x:c r="C11" s="16" t="str">
        <x:v>Castello di Ristonchi</x:v>
      </x:c>
      <x:c r="D11" s="16" t="str">
        <x:v>~$108,000</x:v>
      </x:c>
      <x:c r="E11" s="16" t="str">
        <x:v>September 17-20, 2027</x:v>
      </x:c>
      <x:c r="F11" s="16" t="str">
        <x:v>Three nights / 100; all lodging, Florence transfers, welcome party, activities, rave cave, pool day, F&amp;B, DJ, live music and cake represented as included.</x:v>
      </x:c>
      <x:c r="G11" s="16" t="str">
        <x:v>Active - reconcile quote</x:v>
      </x:c>
      <x:c r="H11" s="16" t="str">
        <x:v>Matched existing</x:v>
      </x:c>
      <x:c r="I11" s="16" t="str">
        <x:v>Do not overwrite the official 2027 EUR 185,500 Premium price. Confirm currency, exact package/version, taxes and headcount at the 9/4 meeting.</x:v>
      </x:c>
      <x:c r="J11" s="16" t="str">
        <x:v>https://www.ristonchi.com/theristonchiexperience</x:v>
      </x:c>
    </x:row>
    <x:row r="12">
      <x:c r="A12" s="16" t="n">
        <x:v>9</x:v>
      </x:c>
      <x:c r="B12" s="16" t="str">
        <x:v>Tenuta di Rota; contacted 7/26</x:v>
      </x:c>
      <x:c r="C12" s="16" t="str">
        <x:v>Tenuta di Rota</x:v>
      </x:c>
      <x:c r="D12" s="16" t="str">
        <x:v>Quote pending</x:v>
      </x:c>
      <x:c r="E12" s="16" t="str">
        <x:v>Contacted 7/26</x:v>
      </x:c>
      <x:c r="F12" s="16" t="str"/>
      <x:c r="G12" s="16" t="str">
        <x:v>Quote pending</x:v>
      </x:c>
      <x:c r="H12" s="16" t="str">
        <x:v>New venue</x:v>
      </x:c>
      <x:c r="I12" s="16" t="str">
        <x:v>Confirm exact event and onsite sleeping capacities across the four farmhouses.</x:v>
      </x:c>
      <x:c r="J12" s="16" t="str">
        <x:v>https://italianvenues.com/weddings/venues/tenuta-di-rota/</x:v>
      </x:c>
    </x:row>
    <x:row r="13">
      <x:c r="A13" s="16" t="n">
        <x:v>10</x:v>
      </x:c>
      <x:c r="B13" s="16" t="str">
        <x:v>Tenute del Cerro; contacted 7/26</x:v>
      </x:c>
      <x:c r="C13" s="16" t="str">
        <x:v>Tenute del Cerro</x:v>
      </x:c>
      <x:c r="D13" s="16" t="str">
        <x:v>Quote pending</x:v>
      </x:c>
      <x:c r="E13" s="16" t="str">
        <x:v>Contacted 7/26</x:v>
      </x:c>
      <x:c r="F13" s="16" t="str"/>
      <x:c r="G13" s="16" t="str">
        <x:v>Clarify property</x:v>
      </x:c>
      <x:c r="H13" s="16" t="str">
        <x:v>New / ambiguous</x:v>
      </x:c>
      <x:c r="I13" s="16" t="str">
        <x:v>This is a hospitality/winery portfolio; identify the specific estate and its 100-person rain-plan capacity.</x:v>
      </x:c>
      <x:c r="J13" s="16" t="str">
        <x:v>https://italianvenues.com/weddings/venues/tenute-del-cerro/</x:v>
      </x:c>
    </x:row>
    <x:row r="14">
      <x:c r="A14" s="16" t="n">
        <x:v>11</x:v>
      </x:c>
      <x:c r="B14" s="16" t="str">
        <x:v>Villa Catureglio; contacted 7/26</x:v>
      </x:c>
      <x:c r="C14" s="16" t="str">
        <x:v>Villa Catureglio</x:v>
      </x:c>
      <x:c r="D14" s="16" t="str">
        <x:v>Quote pending</x:v>
      </x:c>
      <x:c r="E14" s="16" t="str">
        <x:v>Contacted 7/26</x:v>
      </x:c>
      <x:c r="F14" s="16" t="str"/>
      <x:c r="G14" s="16" t="str">
        <x:v>Eliminate - capacity</x:v>
      </x:c>
      <x:c r="H14" s="16" t="str">
        <x:v>Matched existing</x:v>
      </x:c>
      <x:c r="I14" s="16" t="str">
        <x:v>Outreach does not resolve the published 80-person maximum for the 100-person abroad case.</x:v>
      </x:c>
      <x:c r="J14" s="16" t="str">
        <x:v>https://italianvenues.com/weddings/venues/villa-catureglio/</x:v>
      </x:c>
    </x:row>
    <x:row r="15">
      <x:c r="A15" s="16" t="n">
        <x:v>12</x:v>
      </x:c>
      <x:c r="B15" s="16" t="str">
        <x:v>Villa Nemora; contacted 7/26</x:v>
      </x:c>
      <x:c r="C15" s="16" t="str">
        <x:v>Villa Nemora</x:v>
      </x:c>
      <x:c r="D15" s="16" t="str">
        <x:v>Quote pending</x:v>
      </x:c>
      <x:c r="E15" s="16" t="str">
        <x:v>Contacted 7/26</x:v>
      </x:c>
      <x:c r="F15" s="16" t="str"/>
      <x:c r="G15" s="16" t="str">
        <x:v>Watch</x:v>
      </x:c>
      <x:c r="H15" s="16" t="str">
        <x:v>Matched existing</x:v>
      </x:c>
      <x:c r="I15" s="16" t="str">
        <x:v>Contact status is new; cost and wet-weather capacity around 70 remain unresolved.</x:v>
      </x:c>
      <x:c r="J15" s="16" t="str">
        <x:v>https://italianvenues.com/weddings/venues/villa-nemora/</x:v>
      </x:c>
    </x:row>
    <x:row r="16">
      <x:c r="A16" s="16" t="n">
        <x:v>13</x:v>
      </x:c>
      <x:c r="B16" s="16" t="str">
        <x:v>Masseria Alchima; contacted 7/26</x:v>
      </x:c>
      <x:c r="C16" s="16" t="str">
        <x:v>Masseria Alchimia</x:v>
      </x:c>
      <x:c r="D16" s="16" t="str">
        <x:v>Quote pending</x:v>
      </x:c>
      <x:c r="E16" s="16" t="str">
        <x:v>Contacted 7/26</x:v>
      </x:c>
      <x:c r="F16" s="16" t="str">
        <x:v>pass; too expensive</x:v>
      </x:c>
      <x:c r="G16" s="16" t="str">
        <x:v>Pass - too expensive</x:v>
      </x:c>
      <x:c r="H16" s="16" t="str">
        <x:v>New venue</x:v>
      </x:c>
      <x:c r="I16" s="16" t="str">
        <x:v>Retained for decision history but excluded from the active shortlist.</x:v>
      </x:c>
      <x:c r="J16" s="16" t="str">
        <x:v>https://www.alchimiacollection.com/en/thank-you-for-contacting-us/</x:v>
      </x:c>
    </x:row>
    <x:row r="17">
      <x:c r="A17" s="16" t="n">
        <x:v>14</x:v>
      </x:c>
      <x:c r="B17" s="16" t="str">
        <x:v>Masseria Le Carrube; contacted 7/26</x:v>
      </x:c>
      <x:c r="C17" s="16" t="str">
        <x:v>Masseria Le Carrube</x:v>
      </x:c>
      <x:c r="D17" s="16" t="str">
        <x:v>Quote pending</x:v>
      </x:c>
      <x:c r="E17" s="16" t="str">
        <x:v>Contacted 7/26</x:v>
      </x:c>
      <x:c r="F17" s="16" t="str"/>
      <x:c r="G17" s="16" t="str">
        <x:v>Quote pending</x:v>
      </x:c>
      <x:c r="H17" s="16" t="str">
        <x:v>New venue</x:v>
      </x:c>
      <x:c r="I17" s="16" t="str">
        <x:v>Request exact exclusivity, room inventory, catering and late-music terms.</x:v>
      </x:c>
      <x:c r="J17" s="16" t="str">
        <x:v>https://italianvenues.com/weddings/venues/masseria-le-carrube/</x:v>
      </x:c>
    </x:row>
    <x:row r="18">
      <x:c r="A18" s="16" t="n">
        <x:v>15</x:v>
      </x:c>
      <x:c r="B18" s="16" t="str">
        <x:v>Villa Lena (Puglia); contacted 7/26</x:v>
      </x:c>
      <x:c r="C18" s="16" t="str">
        <x:v>Villa Lena Puglia</x:v>
      </x:c>
      <x:c r="D18" s="16" t="str">
        <x:v>Quote pending</x:v>
      </x:c>
      <x:c r="E18" s="16" t="str">
        <x:v>Contacted 7/26</x:v>
      </x:c>
      <x:c r="F18" s="16" t="str"/>
      <x:c r="G18" s="16" t="str">
        <x:v>Quote pending</x:v>
      </x:c>
      <x:c r="H18" s="16" t="str">
        <x:v>New venue</x:v>
      </x:c>
      <x:c r="I18" s="16" t="str">
        <x:v>Event capacity may fit, but only about 14-18 can sleep onsite; price and minimum stay are quote-only.</x:v>
      </x:c>
      <x:c r="J18" s="16" t="str">
        <x:v>https://italianvenues.com/weddings/venues/villa-lena-puglia/</x:v>
      </x:c>
    </x:row>
    <x:row r="19">
      <x:c r="A19" s="16" t="n">
        <x:v>16</x:v>
      </x:c>
      <x:c r="B19" s="16" t="str">
        <x:v>A Private Estate Events; contacted 7/26</x:v>
      </x:c>
      <x:c r="C19" s="16" t="str">
        <x:v>A Private Estate Events</x:v>
      </x:c>
      <x:c r="D19" s="16" t="str">
        <x:v>Quote pending</x:v>
      </x:c>
      <x:c r="E19" s="16" t="str">
        <x:v>Contacted 7/26</x:v>
      </x:c>
      <x:c r="F19" s="16" t="str">
        <x:v>pass; no late night music</x:v>
      </x:c>
      <x:c r="G19" s="16" t="str">
        <x:v>Pass - no late music</x:v>
      </x:c>
      <x:c r="H19" s="16" t="str">
        <x:v>New venue</x:v>
      </x:c>
      <x:c r="I19" s="16" t="str">
        <x:v>This explicit rejection establishes late-night celebration as a near-hard gate.</x:v>
      </x:c>
      <x:c r="J19" s="16" t="str">
        <x:v>https://aprivateestate.com/</x:v>
      </x:c>
    </x:row>
    <x:row r="20">
      <x:c r="A20" s="16" t="n">
        <x:v>17</x:v>
      </x:c>
      <x:c r="B20" s="16" t="str">
        <x:v>Chateau de Sanse; contacted 7/26</x:v>
      </x:c>
      <x:c r="C20" s="16" t="str">
        <x:v>Chateau de Sanse</x:v>
      </x:c>
      <x:c r="D20" s="16" t="str">
        <x:v>Quote pending</x:v>
      </x:c>
      <x:c r="E20" s="16" t="str">
        <x:v>Contacted 7/26</x:v>
      </x:c>
      <x:c r="F20" s="16" t="str">
        <x:v>pass</x:v>
      </x:c>
      <x:c r="G20" s="16" t="str">
        <x:v>Pass - reason not recorded</x:v>
      </x:c>
      <x:c r="H20" s="16" t="str">
        <x:v>New venue</x:v>
      </x:c>
      <x:c r="I20" s="16" t="str">
        <x:v>Retained to preserve the couple's decision; ask only if the pass was accidental.</x:v>
      </x:c>
      <x:c r="J20" s="16" t="str">
        <x:v>https://chateaubeeselection.com/venues/chateau-de-sanse/</x:v>
      </x:c>
    </x:row>
    <x:row r="21">
      <x:c r="A21" s="16" t="n">
        <x:v>18</x:v>
      </x:c>
      <x:c r="B21" s="16" t="str">
        <x:v>Chateau les Crostes; contacted 7/26</x:v>
      </x:c>
      <x:c r="C21" s="16" t="str">
        <x:v>Chateau Les Crostes</x:v>
      </x:c>
      <x:c r="D21" s="16" t="str">
        <x:v>Quote pending</x:v>
      </x:c>
      <x:c r="E21" s="16" t="str">
        <x:v>Contacted 7/26</x:v>
      </x:c>
      <x:c r="F21" s="16" t="str"/>
      <x:c r="G21" s="16" t="str">
        <x:v>Quote pending</x:v>
      </x:c>
      <x:c r="H21" s="16" t="str">
        <x:v>New venue</x:v>
      </x:c>
      <x:c r="I21" s="16" t="str">
        <x:v>Strong capacity and late-night flexibility; dry-hire scope and lack of an indoor reception hall create cost/weather risk.</x:v>
      </x:c>
      <x:c r="J21" s="16" t="str">
        <x:v>https://chateaubeeselection.com/venues/chateau-les-crostes/</x:v>
      </x:c>
    </x:row>
    <x:row r="22">
      <x:c r="A22" s="16" t="n">
        <x:v>19</x:v>
      </x:c>
      <x:c r="B22" s="16" t="str">
        <x:v>The Old Mill; contacted 7/26</x:v>
      </x:c>
      <x:c r="C22" s="16" t="str">
        <x:v>The Old Mill at Audrey's Farmhouse</x:v>
      </x:c>
      <x:c r="D22" s="16" t="str">
        <x:v>Quote pending</x:v>
      </x:c>
      <x:c r="E22" s="16" t="str">
        <x:v>Contacted 7/26</x:v>
      </x:c>
      <x:c r="F22" s="16" t="str">
        <x:v>pass; didn't love</x:v>
      </x:c>
      <x:c r="G22" s="16" t="str">
        <x:v>Pass - aesthetic</x:v>
      </x:c>
      <x:c r="H22" s="16" t="str">
        <x:v>New venue</x:v>
      </x:c>
      <x:c r="I22" s="16" t="str">
        <x:v>Private brochure shows workable capacity/cost; the manual aesthetic veto remains controlling.</x:v>
      </x:c>
      <x:c r="J22" s="16" t="str">
        <x:v>https://www.audreysfarmhouse.com/weddings</x:v>
      </x:c>
    </x:row>
    <x:row r="23">
      <x:c r="A23" s="16" t="n">
        <x:v>20</x:v>
      </x:c>
      <x:c r="B23" s="16" t="str">
        <x:v>the inn at fernbrook farms</x:v>
      </x:c>
      <x:c r="C23" s="16" t="str">
        <x:v>Inn at Fernbrook Farms</x:v>
      </x:c>
      <x:c r="D23" s="16" t="str"/>
      <x:c r="E23" s="16" t="str"/>
      <x:c r="F23" s="16" t="str"/>
      <x:c r="G23" s="16" t="str">
        <x:v>Existing interest</x:v>
      </x:c>
      <x:c r="H23" s="16" t="str">
        <x:v>Matched existing</x:v>
      </x:c>
      <x:c r="I23" s="16" t="str">
        <x:v>No new quote facts; retained as an outreach reminder.</x:v>
      </x:c>
      <x:c r="J23" s="16" t="str">
        <x:v>https://www.fernbrookfarms.com/inn/weddings/</x:v>
      </x:c>
    </x:row>
    <x:row r="24">
      <x:c r="A24" s="16" t="str">
        <x:v>Follow-up 8/4</x:v>
      </x:c>
      <x:c r="B24" s="16" t="str">
        <x:v>Adirondack Camp</x:v>
      </x:c>
      <x:c r="C24" s="16" t="str">
        <x:v>Adirondack Camp</x:v>
      </x:c>
      <x:c r="D24" s="16" t="str"/>
      <x:c r="E24" s="16" t="str">
        <x:v>Decision recorded 8/4/2026</x:v>
      </x:c>
      <x:c r="F24" s="16" t="str">
        <x:v>pass; too far and guests would have to walk too much across the venue based on reviews</x:v>
      </x:c>
      <x:c r="G24" s="16" t="str">
        <x:v>Pass - distance / site spread</x:v>
      </x:c>
      <x:c r="H24" s="16" t="str">
        <x:v>Matched existing</x:v>
      </x:c>
      <x:c r="I24" s="16" t="str">
        <x:v>Removed from the active shortlist. Future research now penalizes excessive travel time and dispersed layouts without comprehensive internal transportation.</x:v>
      </x:c>
      <x:c r="J24" s="16" t="str">
        <x:v>https://mycampwedding.com/</x:v>
      </x:c>
    </x:row>
    <x:row r="25">
      <x:c r="A25" s="16" t="str">
        <x:v>Follow-up 8/4</x:v>
      </x:c>
      <x:c r="B25" s="16" t="str">
        <x:v>Blenheim Hill Farm</x:v>
      </x:c>
      <x:c r="C25" s="16" t="str">
        <x:v>Blenheim Hill Farm</x:v>
      </x:c>
      <x:c r="D25" s="16" t="str">
        <x:v>$82,975 guest-paid-room fallback; $131,575 couple-funded host-all model</x:v>
      </x:c>
      <x:c r="E25" s="16" t="str">
        <x:v>Model updated 8/4/2026</x:v>
      </x:c>
      <x:c r="F25" s="16" t="str">
        <x:v>Primary plan should not require guests to pay for accommodations.</x:v>
      </x:c>
      <x:c r="G25" s="16" t="str">
        <x:v>Watch - hosted lodging over cap</x:v>
      </x:c>
      <x:c r="H25" s="16" t="str">
        <x:v>Matched existing</x:v>
      </x:c>
      <x:c r="I25" s="16" t="str">
        <x:v>The host-all scenario is now the primary comparison. Approximately $45,000 of overflow lodging plus contingency moves Blenheim above the $120,000 ceiling.</x:v>
      </x:c>
      <x:c r="J25" s="16" t="str">
        <x:v>https://www.blenheimhillfarm.com/pricing</x:v>
      </x:c>
    </x:row>
  </x:sheetData>
  <x:mergeCells>
    <x:mergeCell ref="A1:J2"/>
    <x:mergeCell ref="A3:J3"/>
  </x:mergeCells>
  <x:conditionalFormatting sqref="A5:J25">
    <x:cfRule type="expression" dxfId="12" priority="1">
      <x:formula>MOD(ROW(),2)=0</x:formula>
    </x:cfRule>
  </x:conditionalFormatting>
  <x:conditionalFormatting sqref="G5:G25">
    <x:cfRule type="containsText" dxfId="13" priority="2" operator="containsText" text="Pass"/>
    <x:cfRule type="containsText" dxfId="14" priority="3" operator="containsText" text="First-call"/>
    <x:cfRule type="containsText" dxfId="15" priority="4" operator="containsText" text="Active"/>
  </x:conditionalFormatting>
  <x:pageMargins left="0.7" right="0.7" top="0.75" bottom="0.75" header="0.3" footer="0.3"/>
  <x:tableParts count="1">
    <x:tablePart xmlns:r="http://schemas.openxmlformats.org/officeDocument/2006/relationships" r:id="Rcc1b18cc47984fb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6" hidden="0" customWidth="1"/>
    <x:col min="2" max="2" width="68" hidden="0" customWidth="1"/>
    <x:col min="3" max="3" width="42" hidden="0" customWidth="1"/>
    <x:col min="4" max="4" width="56" hidden="0" customWidth="1"/>
    <x:col min="5" max="5" width="16" hidden="0" customWidth="1"/>
    <x:col min="6" max="6" width="18" hidden="0" customWidth="1"/>
  </x:cols>
  <x:sheetData>
    <x:row r="1" ht="34" customHeight="1">
      <x:c r="A1" s="3" t="str">
        <x:v>Venue quote brief</x:v>
      </x:c>
      <x:c r="B1" s="3" t="str">
        <x:v>Venue quote brief</x:v>
      </x:c>
      <x:c r="C1" s="3" t="str">
        <x:v>Venue quote brief</x:v>
      </x:c>
      <x:c r="D1" s="3" t="str">
        <x:v>Venue quote brief</x:v>
      </x:c>
      <x:c r="E1" s="3" t="str">
        <x:v>Venue quote brief</x:v>
      </x:c>
      <x:c r="F1" s="3" t="str">
        <x:v>Venue quote brief</x:v>
      </x:c>
    </x:row>
    <x:row r="2" ht="34" customHeight="1">
      <x:c r="A2" s="3" t="str">
        <x:v>Venue quote brief</x:v>
      </x:c>
      <x:c r="B2" s="3" t="str">
        <x:v>Venue quote brief</x:v>
      </x:c>
      <x:c r="C2" s="3" t="str">
        <x:v>Venue quote brief</x:v>
      </x:c>
      <x:c r="D2" s="3" t="str">
        <x:v>Venue quote brief</x:v>
      </x:c>
      <x:c r="E2" s="3" t="str">
        <x:v>Venue quote brief</x:v>
      </x:c>
      <x:c r="F2" s="3" t="str">
        <x:v>Venue quote brief</x:v>
      </x:c>
    </x:row>
    <x:row r="3" ht="30" customHeight="1">
      <x:c r="A3" s="7" t="str">
        <x:v>Copy the brief below into outreach. Ask every venue for one itemized 100- or 150-person worksheet so package comparisons cannot hide lodging, taxes or service charges.</x:v>
      </x:c>
      <x:c r="B3" s="7" t="str">
        <x:v>Copy the brief below into outreach. Ask every venue for one itemized 100- or 150-person worksheet so package comparisons cannot hide lodging, taxes or service charges.</x:v>
      </x:c>
      <x:c r="C3" s="7" t="str">
        <x:v>Copy the brief below into outreach. Ask every venue for one itemized 100- or 150-person worksheet so package comparisons cannot hide lodging, taxes or service charges.</x:v>
      </x:c>
      <x:c r="D3" s="7" t="str">
        <x:v>Copy the brief below into outreach. Ask every venue for one itemized 100- or 150-person worksheet so package comparisons cannot hide lodging, taxes or service charges.</x:v>
      </x:c>
      <x:c r="E3" s="7" t="str">
        <x:v>Copy the brief below into outreach. Ask every venue for one itemized 100- or 150-person worksheet so package comparisons cannot hide lodging, taxes or service charges.</x:v>
      </x:c>
      <x:c r="F3" s="7" t="str">
        <x:v>Copy the brief below into outreach. Ask every venue for one itemized 100- or 150-person worksheet so package comparisons cannot hide lodging, taxes or service charges.</x:v>
      </x:c>
    </x:row>
    <x:row r="5" ht="70" customHeight="1">
      <x:c r="A5" s="67" t="str">
        <x:v>We are planning a wedding between May 1 and September 25 in 2027 or 2028. We expect 150 guests in the United States or approximately 100 abroad. Our preference is exclusive use for 2–3 days with a welcome event, wedding/afterparty, and farewell meal. Please assume the couple funds all required onsite and overflow guest lodging, and show every tax and mandatory fee.</x:v>
      </x:c>
      <x:c r="B5" s="68" t="str">
        <x:v>We are planning a wedding between May 1 and September 25 in 2027 or 2028. We expect 150 guests in the United States or approximately 100 abroad. Our preference is exclusive use for 2–3 days with a welcome event, wedding/afterparty, and farewell meal. Please assume the couple funds all required onsite and overflow guest lodging, and show every tax and mandatory fee.</x:v>
      </x:c>
      <x:c r="C5" s="68" t="str">
        <x:v>We are planning a wedding between May 1 and September 25 in 2027 or 2028. We expect 150 guests in the United States or approximately 100 abroad. Our preference is exclusive use for 2–3 days with a welcome event, wedding/afterparty, and farewell meal. Please assume the couple funds all required onsite and overflow guest lodging, and show every tax and mandatory fee.</x:v>
      </x:c>
      <x:c r="D5" s="68" t="str">
        <x:v>We are planning a wedding between May 1 and September 25 in 2027 or 2028. We expect 150 guests in the United States or approximately 100 abroad. Our preference is exclusive use for 2–3 days with a welcome event, wedding/afterparty, and farewell meal. Please assume the couple funds all required onsite and overflow guest lodging, and show every tax and mandatory fee.</x:v>
      </x:c>
      <x:c r="E5" s="68" t="str">
        <x:v>We are planning a wedding between May 1 and September 25 in 2027 or 2028. We expect 150 guests in the United States or approximately 100 abroad. Our preference is exclusive use for 2–3 days with a welcome event, wedding/afterparty, and farewell meal. Please assume the couple funds all required onsite and overflow guest lodging, and show every tax and mandatory fee.</x:v>
      </x:c>
      <x:c r="F5" s="69" t="str">
        <x:v>We are planning a wedding between May 1 and September 25 in 2027 or 2028. We expect 150 guests in the United States or approximately 100 abroad. Our preference is exclusive use for 2–3 days with a welcome event, wedding/afterparty, and farewell meal. Please assume the couple funds all required onsite and overflow guest lodging, and show every tax and mandatory fee.</x:v>
      </x:c>
    </x:row>
    <x:row r="7" ht="34" customHeight="1">
      <x:c r="A7" s="12" t="str">
        <x:v>#</x:v>
      </x:c>
      <x:c r="B7" s="12" t="str">
        <x:v>Question to ask</x:v>
      </x:c>
      <x:c r="C7" s="12" t="str">
        <x:v>Why it matters</x:v>
      </x:c>
      <x:c r="D7" s="12" t="str">
        <x:v>Good / comparable answer</x:v>
      </x:c>
      <x:c r="E7" s="12" t="str">
        <x:v>Owner</x:v>
      </x:c>
      <x:c r="F7" s="12" t="str">
        <x:v>Status</x:v>
      </x:c>
    </x:row>
    <x:row r="8">
      <x:c r="A8" s="16" t="n">
        <x:v>1</x:v>
      </x:c>
      <x:c r="B8" s="16" t="str">
        <x:v>Which May 1–September 25 dates are open in 2027 and 2028, and what exact price applies to each weekday/weekend/season tier?</x:v>
      </x:c>
      <x:c r="C8" s="16" t="str">
        <x:v>Date can swing venue pricing by tens of thousands.</x:v>
      </x:c>
      <x:c r="D8" s="16" t="str">
        <x:v>Dated rate card with every available weekend and any minimum-stay rule.</x:v>
      </x:c>
      <x:c r="E8" s="16" t="str"/>
      <x:c r="F8" s="17" t="str">
        <x:v>Not asked</x:v>
      </x:c>
    </x:row>
    <x:row r="9">
      <x:c r="A9" s="16" t="n">
        <x:v>2</x:v>
      </x:c>
      <x:c r="B9" s="16" t="str">
        <x:v>Is the quote a full-property buyout? Give exact check-in/check-out times and every space excluded from exclusivity.</x:v>
      </x:c>
      <x:c r="C9" s="16" t="str">
        <x:v>“Weekend” sometimes means only the wedding day.</x:v>
      </x:c>
      <x:c r="D9" s="16" t="str">
        <x:v>Exclusive 2–3 nights, with arrival/departure times and no overlapping event.</x:v>
      </x:c>
      <x:c r="E9" s="16" t="str"/>
      <x:c r="F9" s="17" t="str">
        <x:v>Not asked</x:v>
      </x:c>
    </x:row>
    <x:row r="10">
      <x:c r="A10" s="16" t="n">
        <x:v>3</x:v>
      </x:c>
      <x:c r="B10" s="16" t="str">
        <x:v>Exactly how many people can sleep onsite, in how many bedrooms/beds, and what is the couple-funded cost to house the full guest count onsite or in overflow hotels?</x:v>
      </x:c>
      <x:c r="C10" s="16" t="str">
        <x:v>Lodging is the largest apples-to-apples difference and should not be shifted to guests.</x:v>
      </x:c>
      <x:c r="D10" s="16" t="str">
        <x:v>Complete rooming list, room-night rates, taxes, minimum nights, overflow hotel blocks and a fully loaded couple-paid lodging total.</x:v>
      </x:c>
      <x:c r="E10" s="16" t="str"/>
      <x:c r="F10" s="17" t="str">
        <x:v>Not asked</x:v>
      </x:c>
    </x:row>
    <x:row r="11">
      <x:c r="A11" s="16" t="n">
        <x:v>4</x:v>
      </x:c>
      <x:c r="B11" s="16" t="str">
        <x:v>Please itemize welcome dinner, wedding-day meals/bar, afterparty, and farewell brunch for our guest count.</x:v>
      </x:c>
      <x:c r="C11" s="16" t="str">
        <x:v>Some packages cover only the reception.</x:v>
      </x:c>
      <x:c r="D11" s="16" t="str">
        <x:v>Menu, duration, beverage brands/hours, staffing, late-night food and vendor meals.</x:v>
      </x:c>
      <x:c r="E11" s="16" t="str"/>
      <x:c r="F11" s="17" t="str">
        <x:v>Not asked</x:v>
      </x:c>
    </x:row>
    <x:row r="12">
      <x:c r="A12" s="16" t="n">
        <x:v>5</x:v>
      </x:c>
      <x:c r="B12" s="16" t="str">
        <x:v>What food-and-beverage minimum, minimum guest count, room-block minimum or spend guarantee applies?</x:v>
      </x:c>
      <x:c r="C12" s="16" t="str">
        <x:v>Minimums can replace a low site fee.</x:v>
      </x:c>
      <x:c r="D12" s="16" t="str">
        <x:v>Dollar/euro amount by date, plus what counts toward it.</x:v>
      </x:c>
      <x:c r="E12" s="16" t="str"/>
      <x:c r="F12" s="17" t="str">
        <x:v>Not asked</x:v>
      </x:c>
    </x:row>
    <x:row r="13">
      <x:c r="A13" s="16" t="n">
        <x:v>6</x:v>
      </x:c>
      <x:c r="B13" s="16" t="str">
        <x:v>Which vendors/services are included, mandatory or exclusive: planner/coordinator, caterer, bar, rentals, DJ/music, florist, cake, officiant, photo/video and HMU?</x:v>
      </x:c>
      <x:c r="C13" s="16" t="str">
        <x:v>Mandatory vendors control both cost and flexibility.</x:v>
      </x:c>
      <x:c r="D13" s="16" t="str">
        <x:v>Line-item inclusions and vendor price lists; buyout fees for outside vendors.</x:v>
      </x:c>
      <x:c r="E13" s="16" t="str"/>
      <x:c r="F13" s="17" t="str">
        <x:v>Not asked</x:v>
      </x:c>
    </x:row>
    <x:row r="14">
      <x:c r="A14" s="16" t="n">
        <x:v>7</x:v>
      </x:c>
      <x:c r="B14" s="16" t="str">
        <x:v>What décor is included: ceremony chairs/arch, tables, linens, tableware, candles, lighting, signage, centerpieces and florals?</x:v>
      </x:c>
      <x:c r="C14" s="16" t="str">
        <x:v>“Basic décor” varies dramatically.</x:v>
      </x:c>
      <x:c r="D14" s="16" t="str">
        <x:v>Inventory list and photos of the exact included setup.</x:v>
      </x:c>
      <x:c r="E14" s="16" t="str"/>
      <x:c r="F14" s="17" t="str">
        <x:v>Not asked</x:v>
      </x:c>
    </x:row>
    <x:row r="15">
      <x:c r="A15" s="16" t="n">
        <x:v>8</x:v>
      </x:c>
      <x:c r="B15" s="16" t="str">
        <x:v>What transportation is included: airport transfer, hotel shuttle, internal carts and late-night return trips? Also provide actual walking distances and terrain between lodging, ceremony, reception, afterparty and activities.</x:v>
      </x:c>
      <x:c r="C15" s="16" t="str">
        <x:v>Long travel and excessive walking across a dispersed venue are now material rejection risks.</x:v>
      </x:c>
      <x:c r="D15" s="16" t="str">
        <x:v>Door-to-door travel times, maximum walking distance, slopes/surfaces, ADA plan, cart/shuttle capacity, frequency, operating hours and overtime rate.</x:v>
      </x:c>
      <x:c r="E15" s="16" t="str"/>
      <x:c r="F15" s="17" t="str">
        <x:v>Not asked</x:v>
      </x:c>
    </x:row>
    <x:row r="16">
      <x:c r="A16" s="16" t="n">
        <x:v>9</x:v>
      </x:c>
      <x:c r="B16" s="16" t="str">
        <x:v>List every VAT/sales tax, admin fee, service charge, staffing fee, gratuity, cleaning/energy/tourist/music fee and payment/bank fee. State whether any charge is itself taxed.</x:v>
      </x:c>
      <x:c r="C16" s="16" t="str">
        <x:v>This is where public starting prices most often understate total cost.</x:v>
      </x:c>
      <x:c r="D16" s="16" t="str">
        <x:v>A fully loaded total and a clear statement of what is not gratuity.</x:v>
      </x:c>
      <x:c r="E16" s="16" t="str"/>
      <x:c r="F16" s="17" t="str">
        <x:v>Not asked</x:v>
      </x:c>
    </x:row>
    <x:row r="17">
      <x:c r="A17" s="16" t="n">
        <x:v>10</x:v>
      </x:c>
      <x:c r="B17" s="16" t="str">
        <x:v>What is the contractual curfew for outdoor music, indoor music, bar, afterparty and guest departure? Are decibel limits or sound limiters used?</x:v>
      </x:c>
      <x:c r="C17" s="16" t="str">
        <x:v>An early cutoff changes the entire weekend experience.</x:v>
      </x:c>
      <x:c r="D17" s="16" t="str">
        <x:v>Times, locations, decibel/limiter policy and extension price in the contract.</x:v>
      </x:c>
      <x:c r="E17" s="16" t="str"/>
      <x:c r="F17" s="17" t="str">
        <x:v>Not asked</x:v>
      </x:c>
    </x:row>
    <x:row r="18">
      <x:c r="A18" s="16" t="n">
        <x:v>11</x:v>
      </x:c>
      <x:c r="B18" s="16" t="str">
        <x:v>What is the rain/heat plan at our full guest count? Is tenting included, and are A/C, heaters, fans, restrooms, power and flooring included?</x:v>
      </x:c>
      <x:c r="C18" s="16" t="str">
        <x:v>Tent/rain infrastructure can add $10k–$30k.</x:v>
      </x:c>
      <x:c r="D18" s="16" t="str">
        <x:v>Scaled floor plan and full included inventory for 100/150 seated plus dance floor.</x:v>
      </x:c>
      <x:c r="E18" s="16" t="str"/>
      <x:c r="F18" s="17" t="str">
        <x:v>Not asked</x:v>
      </x:c>
    </x:row>
    <x:row r="19">
      <x:c r="A19" s="16" t="n">
        <x:v>12</x:v>
      </x:c>
      <x:c r="B19" s="16" t="str">
        <x:v>Can the couple contract and pay all rooms centrally? What deposits, attrition, cancellation terms and annual price increases apply to the venue and room block?</x:v>
      </x:c>
      <x:c r="C19" s="16" t="str">
        <x:v>The primary plan avoids requiring guests to fund accommodations and creates material cash-flow exposure.</x:v>
      </x:c>
      <x:c r="D19" s="16" t="str">
        <x:v>Central billing option, payment calendar, room-block attrition, refund schedule, force-majeure terms and fixed-price clause.</x:v>
      </x:c>
      <x:c r="E19" s="16" t="str"/>
      <x:c r="F19" s="17" t="str">
        <x:v>Not asked</x:v>
      </x:c>
    </x:row>
  </x:sheetData>
  <x:mergeCells>
    <x:mergeCell ref="A1:F2"/>
    <x:mergeCell ref="A3:F3"/>
    <x:mergeCell ref="A5:F5"/>
  </x:mergeCells>
  <x:dataValidations count="1">
    <x:dataValidation type="list" sqref="F8:F19">
      <x:formula1>"Not asked,Asked,Answered,Needs follow-up"</x:formula1>
    </x:dataValidation>
  </x:dataValidations>
  <x:pageMargins left="0.7" right="0.7" top="0.75" bottom="0.75" header="0.3" footer="0.3"/>
</x:worksheet>
</file>